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Test Cases" sheetId="3" state="visible" r:id="rId3"/>
    <sheet name="E2E Journeys" sheetId="4" state="visible" r:id="rId4"/>
    <sheet name="Defects" sheetId="5" state="visible" r:id="rId5"/>
    <sheet name="Test Data" sheetId="6" state="visible" r:id="rId6"/>
    <sheet name="Permission Matrix" sheetId="7" state="visible" r:id="rId7"/>
    <sheet name="Coverage" sheetId="8" state="visible" r:id="rId8"/>
    <sheet name="Known Limitations" sheetId="9" state="visible" r:id="rId9"/>
  </sheets>
  <definedNames>
    <definedName name="_xlnm._FilterDatabase" localSheetId="2" hidden="1">'Test Cases'!$A$1:$L$184</definedName>
    <definedName name="_xlnm.Print_Titles" localSheetId="2">'Test Cases'!$1:$1</definedName>
    <definedName name="_xlnm._FilterDatabase" localSheetId="3" hidden="1">'E2E Journeys'!$A$1:$K$39</definedName>
    <definedName name="_xlnm.Print_Titles" localSheetId="3">'E2E Journeys'!$1:$1</definedName>
    <definedName name="_xlnm._FilterDatabase" localSheetId="4" hidden="1">'Defects'!$A$1:$M$101</definedName>
    <definedName name="_xlnm.Print_Titles" localSheetId="4">'Defects'!$1:$1</definedName>
  </definedNames>
  <calcPr calcId="124519" fullCalcOnLoad="1"/>
</workbook>
</file>

<file path=xl/styles.xml><?xml version="1.0" encoding="utf-8"?>
<styleSheet xmlns="http://schemas.openxmlformats.org/spreadsheetml/2006/main">
  <numFmts count="1">
    <numFmt numFmtId="164" formatCode="dd mmm yyyy"/>
  </numFmts>
  <fonts count="9">
    <font>
      <name val="Calibri"/>
      <family val="2"/>
      <color theme="1"/>
      <sz val="11"/>
      <scheme val="minor"/>
    </font>
    <font>
      <name val="Arial"/>
      <b val="1"/>
      <color rgb="00FFFFFF"/>
      <sz val="10"/>
    </font>
    <font>
      <name val="Arial"/>
      <sz val="10"/>
    </font>
    <font>
      <name val="Arial"/>
      <b val="1"/>
      <color rgb="002F3A8F"/>
      <sz val="10"/>
    </font>
    <font>
      <name val="Arial"/>
      <b val="1"/>
      <color rgb="002F3A8F"/>
      <sz val="16"/>
    </font>
    <font>
      <name val="Arial"/>
      <color rgb="00545B7C"/>
      <sz val="10"/>
    </font>
    <font>
      <name val="Arial"/>
      <b val="1"/>
      <color rgb="002F3A8F"/>
      <sz val="12"/>
    </font>
    <font>
      <name val="Arial"/>
      <b val="1"/>
      <sz val="10"/>
    </font>
    <font>
      <name val="Arial"/>
      <i val="1"/>
      <sz val="10"/>
    </font>
  </fonts>
  <fills count="5">
    <fill>
      <patternFill/>
    </fill>
    <fill>
      <patternFill patternType="gray125"/>
    </fill>
    <fill>
      <patternFill patternType="solid">
        <fgColor rgb="002F3A8F"/>
      </patternFill>
    </fill>
    <fill>
      <patternFill patternType="solid">
        <fgColor rgb="00FFFBE0"/>
      </patternFill>
    </fill>
    <fill>
      <patternFill patternType="solid">
        <fgColor rgb="00E7EAF8"/>
      </patternFill>
    </fill>
  </fills>
  <borders count="2">
    <border>
      <left/>
      <right/>
      <top/>
      <bottom/>
      <diagonal/>
    </border>
    <border>
      <left style="thin">
        <color rgb="00C9CFE3"/>
      </left>
      <right style="thin">
        <color rgb="00C9CFE3"/>
      </right>
      <top style="thin">
        <color rgb="00C9CFE3"/>
      </top>
      <bottom style="thin">
        <color rgb="00C9CFE3"/>
      </bottom>
    </border>
  </borders>
  <cellStyleXfs count="1">
    <xf numFmtId="0" fontId="0" fillId="0" borderId="0"/>
  </cellStyleXfs>
  <cellXfs count="31">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2" fillId="0" borderId="0" applyAlignment="1" pivotButton="0" quotePrefix="0" xfId="0">
      <alignment vertical="top" wrapText="1"/>
    </xf>
    <xf numFmtId="0" fontId="7" fillId="3"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1" fillId="2" borderId="1" applyAlignment="1" pivotButton="0" quotePrefix="0" xfId="0">
      <alignment vertical="center" wrapText="1"/>
    </xf>
    <xf numFmtId="0" fontId="2" fillId="0" borderId="1" pivotButton="0" quotePrefix="0" xfId="0"/>
    <xf numFmtId="0" fontId="0" fillId="3" borderId="1" pivotButton="0" quotePrefix="0" xfId="0"/>
    <xf numFmtId="0" fontId="2"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9" fontId="2" fillId="0" borderId="1" applyAlignment="1" pivotButton="0" quotePrefix="0" xfId="0">
      <alignment horizontal="center" vertical="center"/>
    </xf>
    <xf numFmtId="0" fontId="7" fillId="4" borderId="1" applyAlignment="1" pivotButton="0" quotePrefix="0" xfId="0">
      <alignment horizontal="left" vertical="center"/>
    </xf>
    <xf numFmtId="0" fontId="7" fillId="4" borderId="1" applyAlignment="1" pivotButton="0" quotePrefix="0" xfId="0">
      <alignment horizontal="center" vertical="center"/>
    </xf>
    <xf numFmtId="9" fontId="7" fillId="4" borderId="1" applyAlignment="1" pivotButton="0" quotePrefix="0" xfId="0">
      <alignment horizontal="center" vertical="center"/>
    </xf>
    <xf numFmtId="0" fontId="2" fillId="0" borderId="1" applyAlignment="1" pivotButton="0" quotePrefix="0" xfId="0">
      <alignment horizontal="left"/>
    </xf>
    <xf numFmtId="0" fontId="2" fillId="0" borderId="1" applyAlignment="1" pivotButton="0" quotePrefix="0" xfId="0">
      <alignment horizontal="center"/>
    </xf>
    <xf numFmtId="0" fontId="7" fillId="0" borderId="0" applyAlignment="1" pivotButton="0" quotePrefix="0" xfId="0">
      <alignment horizontal="center"/>
    </xf>
    <xf numFmtId="0" fontId="3" fillId="0"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164" fontId="2" fillId="3" borderId="1" applyAlignment="1" pivotButton="0" quotePrefix="0" xfId="0">
      <alignment horizontal="center" vertical="top" wrapText="1"/>
    </xf>
    <xf numFmtId="0" fontId="3" fillId="3" borderId="1" applyAlignment="1" pivotButton="0" quotePrefix="0" xfId="0">
      <alignment horizontal="center" vertical="top" wrapText="1"/>
    </xf>
  </cellXfs>
  <cellStyles count="1">
    <cellStyle name="Normal" xfId="0" builtinId="0" hidden="0"/>
  </cellStyles>
  <dxfs count="5">
    <dxf>
      <font>
        <name val="Arial"/>
        <b val="1"/>
        <color rgb="00B3372D"/>
      </font>
    </dxf>
    <dxf>
      <font>
        <name val="Arial"/>
        <b val="1"/>
        <color rgb="001F7A55"/>
      </font>
      <fill>
        <patternFill patternType="solid">
          <bgColor rgb="00D6EFE0"/>
        </patternFill>
      </fill>
    </dxf>
    <dxf>
      <font>
        <name val="Arial"/>
        <b val="1"/>
        <color rgb="00B3372D"/>
      </font>
      <fill>
        <patternFill patternType="solid">
          <bgColor rgb="00F8D9D6"/>
        </patternFill>
      </fill>
    </dxf>
    <dxf>
      <font>
        <name val="Arial"/>
        <b val="1"/>
        <color rgb="0093500F"/>
      </font>
      <fill>
        <patternFill patternType="solid">
          <bgColor rgb="00FBE8C8"/>
        </patternFill>
      </fill>
    </dxf>
    <dxf>
      <font>
        <name val="Arial"/>
        <color rgb="005D6485"/>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3A8F"/>
    <outlinePr summaryBelow="1" summaryRight="1"/>
    <pageSetUpPr/>
  </sheetPr>
  <dimension ref="A1:B39"/>
  <sheetViews>
    <sheetView showGridLines="0" workbookViewId="0">
      <selection activeCell="A1" sqref="A1"/>
    </sheetView>
  </sheetViews>
  <sheetFormatPr baseColWidth="8" defaultRowHeight="15"/>
  <cols>
    <col width="22" customWidth="1" min="1" max="1"/>
    <col width="100" customWidth="1" min="2" max="2"/>
  </cols>
  <sheetData>
    <row r="1">
      <c r="A1" s="1" t="inlineStr">
        <is>
          <t>How to use this workbook</t>
        </is>
      </c>
    </row>
    <row r="2">
      <c r="A2" s="2" t="inlineStr">
        <is>
          <t>Top1Movers Operations Portal, stakeholder mockup. Scenario-based user acceptance test (UAT). Source: docs/testing/UAT-test-plan.md.</t>
        </is>
      </c>
    </row>
    <row r="4">
      <c r="A4" s="3" t="inlineStr">
        <is>
          <t>The sheets</t>
        </is>
      </c>
    </row>
    <row r="5" ht="17" customHeight="1">
      <c r="A5" s="4" t="inlineStr">
        <is>
          <t>Summary</t>
        </is>
      </c>
      <c r="B5" s="5" t="inlineStr">
        <is>
          <t>Live progress by role, case type and journey, plus defect counts. Read only.</t>
        </is>
      </c>
    </row>
    <row r="6" ht="17" customHeight="1">
      <c r="A6" s="4" t="inlineStr">
        <is>
          <t>Test Cases</t>
        </is>
      </c>
      <c r="B6" s="5" t="inlineStr">
        <is>
          <t>183 cases, one row each. Filter by Role or Area, then work down the list.</t>
        </is>
      </c>
    </row>
    <row r="7" ht="17" customHeight="1">
      <c r="A7" s="4" t="inlineStr">
        <is>
          <t>E2E Journeys</t>
        </is>
      </c>
      <c r="B7" s="5" t="inlineStr">
        <is>
          <t>6 multi-person journeys, one row per step. Set a Status on every step.</t>
        </is>
      </c>
    </row>
    <row r="8" ht="30" customHeight="1">
      <c r="A8" s="4" t="inlineStr">
        <is>
          <t>Defects</t>
        </is>
      </c>
      <c r="B8" s="5" t="inlineStr">
        <is>
          <t>Log every failure here (Severity and Status have dropdowns). Put the ID (for example D-001) in the Defect ID column of the failed case.</t>
        </is>
      </c>
    </row>
    <row r="9" ht="17" customHeight="1">
      <c r="A9" s="4" t="inlineStr">
        <is>
          <t>Test Data</t>
        </is>
      </c>
      <c r="B9" s="5" t="inlineStr">
        <is>
          <t>The people, sample shipments, sample quotations and key numbers you test against.</t>
        </is>
      </c>
    </row>
    <row r="10" ht="17" customHeight="1">
      <c r="A10" s="4" t="inlineStr">
        <is>
          <t>Permission Matrix</t>
        </is>
      </c>
      <c r="B10" s="5" t="inlineStr">
        <is>
          <t>What each role may do. Use it to judge Access cases.</t>
        </is>
      </c>
    </row>
    <row r="11" ht="17" customHeight="1">
      <c r="A11" s="4" t="inlineStr">
        <is>
          <t>Coverage</t>
        </is>
      </c>
      <c r="B11" s="5" t="inlineStr">
        <is>
          <t>Which cases test each feature.</t>
        </is>
      </c>
    </row>
    <row r="12" ht="17" customHeight="1">
      <c r="A12" s="4" t="inlineStr">
        <is>
          <t>Known Limitations</t>
        </is>
      </c>
      <c r="B12" s="5" t="inlineStr">
        <is>
          <t>Mockup boundaries and open questions. Not defects.</t>
        </is>
      </c>
    </row>
    <row r="14">
      <c r="A14" s="3" t="inlineStr">
        <is>
          <t>Filling it in</t>
        </is>
      </c>
    </row>
    <row r="15" ht="30" customHeight="1">
      <c r="A15" s="6" t="inlineStr">
        <is>
          <t>Yellow cells</t>
        </is>
      </c>
      <c r="B15" s="5" t="inlineStr">
        <is>
          <t>These are yours to edit: Status, Tester, Date tested, Defect ID and Notes. Everything else is fixed text or a formula.</t>
        </is>
      </c>
    </row>
    <row r="16" ht="43" customHeight="1">
      <c r="A16" s="4" t="inlineStr">
        <is>
          <t>Status</t>
        </is>
      </c>
      <c r="B16" s="5" t="inlineStr">
        <is>
          <t>Choose from the dropdown: Not run (start), Pass (every part of the expected result is true), Fail (any part differs), Blocked (you could not run it, for example an earlier case left the data in the wrong state).</t>
        </is>
      </c>
    </row>
    <row r="17" ht="30" customHeight="1">
      <c r="A17" s="4" t="inlineStr">
        <is>
          <t>Type</t>
        </is>
      </c>
      <c r="B17" s="5" t="inlineStr">
        <is>
          <t>Happy = the normal path works. Wrong = something goes wrong and the system must cope. Edge = unusual but valid. Access = a role must be able to do, or be blocked from, something.</t>
        </is>
      </c>
    </row>
    <row r="18" ht="30" customHeight="1">
      <c r="A18" s="4" t="inlineStr">
        <is>
          <t>Severity</t>
        </is>
      </c>
      <c r="B18" s="5" t="inlineStr">
        <is>
          <t>Critical = a role sees or does what it must not, or the page breaks. Major = a feature gives a wrong result. Minor = wording, layout or polish.</t>
        </is>
      </c>
    </row>
    <row r="19" ht="30" customHeight="1">
      <c r="A19" s="4" t="inlineStr">
        <is>
          <t>Data reset</t>
        </is>
      </c>
      <c r="B19" s="5" t="inlineStr">
        <is>
          <t>Data lives only in the open page. Refresh the page (F5) to restore the sample data, then sign in again. Cases are written to run in order on one page load unless they say "Refresh first".</t>
        </is>
      </c>
    </row>
    <row r="20" ht="30" customHeight="1">
      <c r="A20" s="4" t="inlineStr">
        <is>
          <t>"Today"</t>
        </is>
      </c>
      <c r="B20" s="5" t="inlineStr">
        <is>
          <t>The mockup clock is fixed at Monday 28 September 2026. All overdue and due-in-N-days statements assume this date.</t>
        </is>
      </c>
    </row>
    <row r="21" ht="30" customHeight="1">
      <c r="A21" s="4" t="inlineStr">
        <is>
          <t>Run order</t>
        </is>
      </c>
      <c r="B21" s="5" t="inlineStr">
        <is>
          <t>Read the full plan sections 1 to 3 (how to open the app, accounts, permission matrix, sample data) before the first case. Then run your own role, then the journeys with a colleague.</t>
        </is>
      </c>
    </row>
    <row r="23">
      <c r="A23" s="3" t="inlineStr">
        <is>
          <t>Example</t>
        </is>
      </c>
    </row>
    <row r="24" ht="30" customHeight="1">
      <c r="A24" s="7" t="inlineStr">
        <is>
          <t>A finished row looks like:</t>
        </is>
      </c>
      <c r="B24" s="8" t="inlineStr">
        <is>
          <t>DSP-35 | Fail | Maria Santos | 29 Sep 2026 | D-004 | Task completed with no file; expected the message "Attach the completion evidence first."</t>
        </is>
      </c>
    </row>
    <row r="26">
      <c r="A26" s="3" t="inlineStr">
        <is>
          <t>Sign-off</t>
        </is>
      </c>
    </row>
    <row r="27" ht="22" customHeight="1">
      <c r="A27" s="9" t="inlineStr">
        <is>
          <t>Role tested</t>
        </is>
      </c>
      <c r="B27" s="9" t="inlineStr">
        <is>
          <t>Tester name  |  Date  |  Comments</t>
        </is>
      </c>
    </row>
    <row r="28">
      <c r="A28" s="10" t="inlineStr">
        <is>
          <t>Everyone</t>
        </is>
      </c>
      <c r="B28" s="11" t="n"/>
    </row>
    <row r="29">
      <c r="A29" s="10" t="inlineStr">
        <is>
          <t>Dispatcher</t>
        </is>
      </c>
      <c r="B29" s="11" t="n"/>
    </row>
    <row r="30">
      <c r="A30" s="10" t="inlineStr">
        <is>
          <t>Warehouse Crew</t>
        </is>
      </c>
      <c r="B30" s="11" t="n"/>
    </row>
    <row r="31">
      <c r="A31" s="10" t="inlineStr">
        <is>
          <t>Manager</t>
        </is>
      </c>
      <c r="B31" s="11" t="n"/>
    </row>
    <row r="32">
      <c r="A32" s="10" t="inlineStr">
        <is>
          <t>Admin</t>
        </is>
      </c>
      <c r="B32" s="11" t="n"/>
    </row>
    <row r="33">
      <c r="A33" s="10" t="inlineStr">
        <is>
          <t>Finance</t>
        </is>
      </c>
      <c r="B33" s="11" t="n"/>
    </row>
    <row r="34">
      <c r="A34" s="10" t="inlineStr">
        <is>
          <t>Customer</t>
        </is>
      </c>
      <c r="B34" s="11" t="n"/>
    </row>
    <row r="35">
      <c r="A35" s="10" t="inlineStr">
        <is>
          <t>Cross-cutting</t>
        </is>
      </c>
      <c r="B35" s="11" t="n"/>
    </row>
    <row r="36">
      <c r="A36" s="10" t="inlineStr">
        <is>
          <t>Data check</t>
        </is>
      </c>
      <c r="B36" s="11" t="n"/>
    </row>
    <row r="37">
      <c r="A37" s="10" t="inlineStr">
        <is>
          <t>End-to-end</t>
        </is>
      </c>
      <c r="B37" s="11" t="n"/>
    </row>
    <row r="39">
      <c r="A39" s="7" t="inlineStr">
        <is>
          <t>Approved by</t>
        </is>
      </c>
      <c r="B39" s="12" t="inlineStr">
        <is>
          <t>Project sponsor: ______________   Operations lead: ______________   Finance lead: ______________   Date: __________</t>
        </is>
      </c>
    </row>
  </sheetData>
  <pageMargins left="0.75" right="0.75" top="1" bottom="1" header="0.5" footer="0.5"/>
</worksheet>
</file>

<file path=xl/worksheets/sheet2.xml><?xml version="1.0" encoding="utf-8"?>
<worksheet xmlns="http://schemas.openxmlformats.org/spreadsheetml/2006/main">
  <sheetPr>
    <tabColor rgb="002F3A8F"/>
    <outlinePr summaryBelow="1" summaryRight="1"/>
    <pageSetUpPr fitToPage="1"/>
  </sheetPr>
  <dimension ref="A1:H45"/>
  <sheetViews>
    <sheetView showGridLines="0"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2" customWidth="1" min="6" max="6"/>
    <col width="14" customWidth="1" min="7" max="7"/>
    <col width="14" customWidth="1" min="8" max="8"/>
    <col width="3" customWidth="1" min="9" max="9"/>
  </cols>
  <sheetData>
    <row r="1">
      <c r="A1" s="1" t="inlineStr">
        <is>
          <t>Top1Movers Operations Portal: UAT progress</t>
        </is>
      </c>
    </row>
    <row r="2">
      <c r="A2" s="2" t="inlineStr">
        <is>
          <t>Counts update by themselves from the Status column on the Test Cases and E2E Journeys sheets. Do not type in this sheet.</t>
        </is>
      </c>
    </row>
    <row r="4">
      <c r="A4" s="3" t="inlineStr">
        <is>
          <t>Progress by role (point of view)</t>
        </is>
      </c>
    </row>
    <row r="5" ht="30" customHeight="1">
      <c r="A5" s="13" t="inlineStr">
        <is>
          <t>Role</t>
        </is>
      </c>
      <c r="B5" s="14" t="inlineStr">
        <is>
          <t>Cases</t>
        </is>
      </c>
      <c r="C5" s="14" t="inlineStr">
        <is>
          <t>Pass</t>
        </is>
      </c>
      <c r="D5" s="14" t="inlineStr">
        <is>
          <t>Fail</t>
        </is>
      </c>
      <c r="E5" s="14" t="inlineStr">
        <is>
          <t>Blocked</t>
        </is>
      </c>
      <c r="F5" s="14" t="inlineStr">
        <is>
          <t>Not run</t>
        </is>
      </c>
      <c r="G5" s="14" t="inlineStr">
        <is>
          <t>% run</t>
        </is>
      </c>
      <c r="H5" s="14" t="inlineStr">
        <is>
          <t>Pass rate of those run</t>
        </is>
      </c>
    </row>
    <row r="6">
      <c r="A6" s="15" t="inlineStr">
        <is>
          <t>Everyone</t>
        </is>
      </c>
      <c r="B6" s="16">
        <f>COUNTIF('Test Cases'!$B$2:$B$184,A6)</f>
        <v/>
      </c>
      <c r="C6" s="16">
        <f>COUNTIFS('Test Cases'!$B$2:$B$184,$A6,'Test Cases'!$H$2:$H$184,"Pass")</f>
        <v/>
      </c>
      <c r="D6" s="16">
        <f>COUNTIFS('Test Cases'!$B$2:$B$184,$A6,'Test Cases'!$H$2:$H$184,"Fail")</f>
        <v/>
      </c>
      <c r="E6" s="16">
        <f>COUNTIFS('Test Cases'!$B$2:$B$184,$A6,'Test Cases'!$H$2:$H$184,"Blocked")</f>
        <v/>
      </c>
      <c r="F6" s="16">
        <f>B6-C6-D6-E6</f>
        <v/>
      </c>
      <c r="G6" s="17">
        <f>IF(B6=0,0,(C6+D6+E6)/B6)</f>
        <v/>
      </c>
      <c r="H6" s="17">
        <f>IF(C6+D6=0,0,C6/(C6+D6))</f>
        <v/>
      </c>
    </row>
    <row r="7">
      <c r="A7" s="15" t="inlineStr">
        <is>
          <t>Dispatcher</t>
        </is>
      </c>
      <c r="B7" s="16">
        <f>COUNTIF('Test Cases'!$B$2:$B$184,A7)</f>
        <v/>
      </c>
      <c r="C7" s="16">
        <f>COUNTIFS('Test Cases'!$B$2:$B$184,$A7,'Test Cases'!$H$2:$H$184,"Pass")</f>
        <v/>
      </c>
      <c r="D7" s="16">
        <f>COUNTIFS('Test Cases'!$B$2:$B$184,$A7,'Test Cases'!$H$2:$H$184,"Fail")</f>
        <v/>
      </c>
      <c r="E7" s="16">
        <f>COUNTIFS('Test Cases'!$B$2:$B$184,$A7,'Test Cases'!$H$2:$H$184,"Blocked")</f>
        <v/>
      </c>
      <c r="F7" s="16">
        <f>B7-C7-D7-E7</f>
        <v/>
      </c>
      <c r="G7" s="17">
        <f>IF(B7=0,0,(C7+D7+E7)/B7)</f>
        <v/>
      </c>
      <c r="H7" s="17">
        <f>IF(C7+D7=0,0,C7/(C7+D7))</f>
        <v/>
      </c>
    </row>
    <row r="8">
      <c r="A8" s="15" t="inlineStr">
        <is>
          <t>Warehouse Crew</t>
        </is>
      </c>
      <c r="B8" s="16">
        <f>COUNTIF('Test Cases'!$B$2:$B$184,A8)</f>
        <v/>
      </c>
      <c r="C8" s="16">
        <f>COUNTIFS('Test Cases'!$B$2:$B$184,$A8,'Test Cases'!$H$2:$H$184,"Pass")</f>
        <v/>
      </c>
      <c r="D8" s="16">
        <f>COUNTIFS('Test Cases'!$B$2:$B$184,$A8,'Test Cases'!$H$2:$H$184,"Fail")</f>
        <v/>
      </c>
      <c r="E8" s="16">
        <f>COUNTIFS('Test Cases'!$B$2:$B$184,$A8,'Test Cases'!$H$2:$H$184,"Blocked")</f>
        <v/>
      </c>
      <c r="F8" s="16">
        <f>B8-C8-D8-E8</f>
        <v/>
      </c>
      <c r="G8" s="17">
        <f>IF(B8=0,0,(C8+D8+E8)/B8)</f>
        <v/>
      </c>
      <c r="H8" s="17">
        <f>IF(C8+D8=0,0,C8/(C8+D8))</f>
        <v/>
      </c>
    </row>
    <row r="9">
      <c r="A9" s="15" t="inlineStr">
        <is>
          <t>Manager</t>
        </is>
      </c>
      <c r="B9" s="16">
        <f>COUNTIF('Test Cases'!$B$2:$B$184,A9)</f>
        <v/>
      </c>
      <c r="C9" s="16">
        <f>COUNTIFS('Test Cases'!$B$2:$B$184,$A9,'Test Cases'!$H$2:$H$184,"Pass")</f>
        <v/>
      </c>
      <c r="D9" s="16">
        <f>COUNTIFS('Test Cases'!$B$2:$B$184,$A9,'Test Cases'!$H$2:$H$184,"Fail")</f>
        <v/>
      </c>
      <c r="E9" s="16">
        <f>COUNTIFS('Test Cases'!$B$2:$B$184,$A9,'Test Cases'!$H$2:$H$184,"Blocked")</f>
        <v/>
      </c>
      <c r="F9" s="16">
        <f>B9-C9-D9-E9</f>
        <v/>
      </c>
      <c r="G9" s="17">
        <f>IF(B9=0,0,(C9+D9+E9)/B9)</f>
        <v/>
      </c>
      <c r="H9" s="17">
        <f>IF(C9+D9=0,0,C9/(C9+D9))</f>
        <v/>
      </c>
    </row>
    <row r="10">
      <c r="A10" s="15" t="inlineStr">
        <is>
          <t>Admin</t>
        </is>
      </c>
      <c r="B10" s="16">
        <f>COUNTIF('Test Cases'!$B$2:$B$184,A10)</f>
        <v/>
      </c>
      <c r="C10" s="16">
        <f>COUNTIFS('Test Cases'!$B$2:$B$184,$A10,'Test Cases'!$H$2:$H$184,"Pass")</f>
        <v/>
      </c>
      <c r="D10" s="16">
        <f>COUNTIFS('Test Cases'!$B$2:$B$184,$A10,'Test Cases'!$H$2:$H$184,"Fail")</f>
        <v/>
      </c>
      <c r="E10" s="16">
        <f>COUNTIFS('Test Cases'!$B$2:$B$184,$A10,'Test Cases'!$H$2:$H$184,"Blocked")</f>
        <v/>
      </c>
      <c r="F10" s="16">
        <f>B10-C10-D10-E10</f>
        <v/>
      </c>
      <c r="G10" s="17">
        <f>IF(B10=0,0,(C10+D10+E10)/B10)</f>
        <v/>
      </c>
      <c r="H10" s="17">
        <f>IF(C10+D10=0,0,C10/(C10+D10))</f>
        <v/>
      </c>
    </row>
    <row r="11">
      <c r="A11" s="15" t="inlineStr">
        <is>
          <t>Finance</t>
        </is>
      </c>
      <c r="B11" s="16">
        <f>COUNTIF('Test Cases'!$B$2:$B$184,A11)</f>
        <v/>
      </c>
      <c r="C11" s="16">
        <f>COUNTIFS('Test Cases'!$B$2:$B$184,$A11,'Test Cases'!$H$2:$H$184,"Pass")</f>
        <v/>
      </c>
      <c r="D11" s="16">
        <f>COUNTIFS('Test Cases'!$B$2:$B$184,$A11,'Test Cases'!$H$2:$H$184,"Fail")</f>
        <v/>
      </c>
      <c r="E11" s="16">
        <f>COUNTIFS('Test Cases'!$B$2:$B$184,$A11,'Test Cases'!$H$2:$H$184,"Blocked")</f>
        <v/>
      </c>
      <c r="F11" s="16">
        <f>B11-C11-D11-E11</f>
        <v/>
      </c>
      <c r="G11" s="17">
        <f>IF(B11=0,0,(C11+D11+E11)/B11)</f>
        <v/>
      </c>
      <c r="H11" s="17">
        <f>IF(C11+D11=0,0,C11/(C11+D11))</f>
        <v/>
      </c>
    </row>
    <row r="12">
      <c r="A12" s="15" t="inlineStr">
        <is>
          <t>Customer</t>
        </is>
      </c>
      <c r="B12" s="16">
        <f>COUNTIF('Test Cases'!$B$2:$B$184,A12)</f>
        <v/>
      </c>
      <c r="C12" s="16">
        <f>COUNTIFS('Test Cases'!$B$2:$B$184,$A12,'Test Cases'!$H$2:$H$184,"Pass")</f>
        <v/>
      </c>
      <c r="D12" s="16">
        <f>COUNTIFS('Test Cases'!$B$2:$B$184,$A12,'Test Cases'!$H$2:$H$184,"Fail")</f>
        <v/>
      </c>
      <c r="E12" s="16">
        <f>COUNTIFS('Test Cases'!$B$2:$B$184,$A12,'Test Cases'!$H$2:$H$184,"Blocked")</f>
        <v/>
      </c>
      <c r="F12" s="16">
        <f>B12-C12-D12-E12</f>
        <v/>
      </c>
      <c r="G12" s="17">
        <f>IF(B12=0,0,(C12+D12+E12)/B12)</f>
        <v/>
      </c>
      <c r="H12" s="17">
        <f>IF(C12+D12=0,0,C12/(C12+D12))</f>
        <v/>
      </c>
    </row>
    <row r="13">
      <c r="A13" s="15" t="inlineStr">
        <is>
          <t>Cross-cutting</t>
        </is>
      </c>
      <c r="B13" s="16">
        <f>COUNTIF('Test Cases'!$B$2:$B$184,A13)</f>
        <v/>
      </c>
      <c r="C13" s="16">
        <f>COUNTIFS('Test Cases'!$B$2:$B$184,$A13,'Test Cases'!$H$2:$H$184,"Pass")</f>
        <v/>
      </c>
      <c r="D13" s="16">
        <f>COUNTIFS('Test Cases'!$B$2:$B$184,$A13,'Test Cases'!$H$2:$H$184,"Fail")</f>
        <v/>
      </c>
      <c r="E13" s="16">
        <f>COUNTIFS('Test Cases'!$B$2:$B$184,$A13,'Test Cases'!$H$2:$H$184,"Blocked")</f>
        <v/>
      </c>
      <c r="F13" s="16">
        <f>B13-C13-D13-E13</f>
        <v/>
      </c>
      <c r="G13" s="17">
        <f>IF(B13=0,0,(C13+D13+E13)/B13)</f>
        <v/>
      </c>
      <c r="H13" s="17">
        <f>IF(C13+D13=0,0,C13/(C13+D13))</f>
        <v/>
      </c>
    </row>
    <row r="14">
      <c r="A14" s="15" t="inlineStr">
        <is>
          <t>Data check</t>
        </is>
      </c>
      <c r="B14" s="16">
        <f>COUNTIF('Test Cases'!$B$2:$B$184,A14)</f>
        <v/>
      </c>
      <c r="C14" s="16">
        <f>COUNTIFS('Test Cases'!$B$2:$B$184,$A14,'Test Cases'!$H$2:$H$184,"Pass")</f>
        <v/>
      </c>
      <c r="D14" s="16">
        <f>COUNTIFS('Test Cases'!$B$2:$B$184,$A14,'Test Cases'!$H$2:$H$184,"Fail")</f>
        <v/>
      </c>
      <c r="E14" s="16">
        <f>COUNTIFS('Test Cases'!$B$2:$B$184,$A14,'Test Cases'!$H$2:$H$184,"Blocked")</f>
        <v/>
      </c>
      <c r="F14" s="16">
        <f>B14-C14-D14-E14</f>
        <v/>
      </c>
      <c r="G14" s="17">
        <f>IF(B14=0,0,(C14+D14+E14)/B14)</f>
        <v/>
      </c>
      <c r="H14" s="17">
        <f>IF(C14+D14=0,0,C14/(C14+D14))</f>
        <v/>
      </c>
    </row>
    <row r="15">
      <c r="A15" s="18" t="inlineStr">
        <is>
          <t>All test cases</t>
        </is>
      </c>
      <c r="B15" s="19">
        <f>SUM(B6:B14)</f>
        <v/>
      </c>
      <c r="C15" s="19">
        <f>SUM(C6:C14)</f>
        <v/>
      </c>
      <c r="D15" s="19">
        <f>SUM(D6:D14)</f>
        <v/>
      </c>
      <c r="E15" s="19">
        <f>SUM(E6:E14)</f>
        <v/>
      </c>
      <c r="F15" s="19">
        <f>B15-C15-D15-E15</f>
        <v/>
      </c>
      <c r="G15" s="20">
        <f>IF(B15=0,0,(C15+D15+E15)/B15)</f>
        <v/>
      </c>
      <c r="H15" s="20">
        <f>IF(C15+D15=0,0,C15/(C15+D15))</f>
        <v/>
      </c>
    </row>
    <row r="17">
      <c r="A17" s="3" t="inlineStr">
        <is>
          <t>Progress by case type</t>
        </is>
      </c>
    </row>
    <row r="18" ht="30" customHeight="1">
      <c r="A18" s="13" t="inlineStr">
        <is>
          <t>Type</t>
        </is>
      </c>
      <c r="B18" s="14" t="inlineStr">
        <is>
          <t>Cases</t>
        </is>
      </c>
      <c r="C18" s="14" t="inlineStr">
        <is>
          <t>Pass</t>
        </is>
      </c>
      <c r="D18" s="14" t="inlineStr">
        <is>
          <t>Fail</t>
        </is>
      </c>
      <c r="E18" s="14" t="inlineStr">
        <is>
          <t>Blocked</t>
        </is>
      </c>
      <c r="F18" s="14" t="inlineStr">
        <is>
          <t>Not run</t>
        </is>
      </c>
      <c r="G18" s="14" t="inlineStr">
        <is>
          <t>% run</t>
        </is>
      </c>
      <c r="H18" s="14" t="inlineStr">
        <is>
          <t>Pass rate of those run</t>
        </is>
      </c>
    </row>
    <row r="19">
      <c r="A19" s="15" t="inlineStr">
        <is>
          <t>Happy</t>
        </is>
      </c>
      <c r="B19" s="16">
        <f>COUNTIF('Test Cases'!$D$2:$D$184,A19)</f>
        <v/>
      </c>
      <c r="C19" s="16">
        <f>COUNTIFS('Test Cases'!$D$2:$D$184,$A19,'Test Cases'!$H$2:$H$184,"Pass")</f>
        <v/>
      </c>
      <c r="D19" s="16">
        <f>COUNTIFS('Test Cases'!$D$2:$D$184,$A19,'Test Cases'!$H$2:$H$184,"Fail")</f>
        <v/>
      </c>
      <c r="E19" s="16">
        <f>COUNTIFS('Test Cases'!$D$2:$D$184,$A19,'Test Cases'!$H$2:$H$184,"Blocked")</f>
        <v/>
      </c>
      <c r="F19" s="16">
        <f>B19-C19-D19-E19</f>
        <v/>
      </c>
      <c r="G19" s="17">
        <f>IF(B19=0,0,(C19+D19+E19)/B19)</f>
        <v/>
      </c>
      <c r="H19" s="17">
        <f>IF(C19+D19=0,0,C19/(C19+D19))</f>
        <v/>
      </c>
    </row>
    <row r="20">
      <c r="A20" s="15" t="inlineStr">
        <is>
          <t>Wrong</t>
        </is>
      </c>
      <c r="B20" s="16">
        <f>COUNTIF('Test Cases'!$D$2:$D$184,A20)</f>
        <v/>
      </c>
      <c r="C20" s="16">
        <f>COUNTIFS('Test Cases'!$D$2:$D$184,$A20,'Test Cases'!$H$2:$H$184,"Pass")</f>
        <v/>
      </c>
      <c r="D20" s="16">
        <f>COUNTIFS('Test Cases'!$D$2:$D$184,$A20,'Test Cases'!$H$2:$H$184,"Fail")</f>
        <v/>
      </c>
      <c r="E20" s="16">
        <f>COUNTIFS('Test Cases'!$D$2:$D$184,$A20,'Test Cases'!$H$2:$H$184,"Blocked")</f>
        <v/>
      </c>
      <c r="F20" s="16">
        <f>B20-C20-D20-E20</f>
        <v/>
      </c>
      <c r="G20" s="17">
        <f>IF(B20=0,0,(C20+D20+E20)/B20)</f>
        <v/>
      </c>
      <c r="H20" s="17">
        <f>IF(C20+D20=0,0,C20/(C20+D20))</f>
        <v/>
      </c>
    </row>
    <row r="21">
      <c r="A21" s="15" t="inlineStr">
        <is>
          <t>Edge</t>
        </is>
      </c>
      <c r="B21" s="16">
        <f>COUNTIF('Test Cases'!$D$2:$D$184,A21)</f>
        <v/>
      </c>
      <c r="C21" s="16">
        <f>COUNTIFS('Test Cases'!$D$2:$D$184,$A21,'Test Cases'!$H$2:$H$184,"Pass")</f>
        <v/>
      </c>
      <c r="D21" s="16">
        <f>COUNTIFS('Test Cases'!$D$2:$D$184,$A21,'Test Cases'!$H$2:$H$184,"Fail")</f>
        <v/>
      </c>
      <c r="E21" s="16">
        <f>COUNTIFS('Test Cases'!$D$2:$D$184,$A21,'Test Cases'!$H$2:$H$184,"Blocked")</f>
        <v/>
      </c>
      <c r="F21" s="16">
        <f>B21-C21-D21-E21</f>
        <v/>
      </c>
      <c r="G21" s="17">
        <f>IF(B21=0,0,(C21+D21+E21)/B21)</f>
        <v/>
      </c>
      <c r="H21" s="17">
        <f>IF(C21+D21=0,0,C21/(C21+D21))</f>
        <v/>
      </c>
    </row>
    <row r="22">
      <c r="A22" s="15" t="inlineStr">
        <is>
          <t>Access</t>
        </is>
      </c>
      <c r="B22" s="16">
        <f>COUNTIF('Test Cases'!$D$2:$D$184,A22)</f>
        <v/>
      </c>
      <c r="C22" s="16">
        <f>COUNTIFS('Test Cases'!$D$2:$D$184,$A22,'Test Cases'!$H$2:$H$184,"Pass")</f>
        <v/>
      </c>
      <c r="D22" s="16">
        <f>COUNTIFS('Test Cases'!$D$2:$D$184,$A22,'Test Cases'!$H$2:$H$184,"Fail")</f>
        <v/>
      </c>
      <c r="E22" s="16">
        <f>COUNTIFS('Test Cases'!$D$2:$D$184,$A22,'Test Cases'!$H$2:$H$184,"Blocked")</f>
        <v/>
      </c>
      <c r="F22" s="16">
        <f>B22-C22-D22-E22</f>
        <v/>
      </c>
      <c r="G22" s="17">
        <f>IF(B22=0,0,(C22+D22+E22)/B22)</f>
        <v/>
      </c>
      <c r="H22" s="17">
        <f>IF(C22+D22=0,0,C22/(C22+D22))</f>
        <v/>
      </c>
    </row>
    <row r="23">
      <c r="A23" s="2" t="inlineStr">
        <is>
          <t>"Wrong" = something goes wrong; "Access" = allowed or blocked by role.</t>
        </is>
      </c>
    </row>
    <row r="25">
      <c r="A25" s="3" t="inlineStr">
        <is>
          <t>End-to-end journeys (each step counted)</t>
        </is>
      </c>
    </row>
    <row r="26" ht="30" customHeight="1">
      <c r="A26" s="13" t="inlineStr">
        <is>
          <t>Journey</t>
        </is>
      </c>
      <c r="B26" s="14" t="inlineStr">
        <is>
          <t>Steps</t>
        </is>
      </c>
      <c r="C26" s="14" t="inlineStr">
        <is>
          <t>Pass</t>
        </is>
      </c>
      <c r="D26" s="14" t="inlineStr">
        <is>
          <t>Fail</t>
        </is>
      </c>
      <c r="E26" s="14" t="inlineStr">
        <is>
          <t>Blocked</t>
        </is>
      </c>
      <c r="F26" s="14" t="inlineStr">
        <is>
          <t>Not run</t>
        </is>
      </c>
      <c r="G26" s="14" t="inlineStr">
        <is>
          <t>% run</t>
        </is>
      </c>
      <c r="H26" s="14" t="inlineStr">
        <is>
          <t>Pass rate of those run</t>
        </is>
      </c>
    </row>
    <row r="27">
      <c r="A27" s="15" t="inlineStr">
        <is>
          <t>E2E-01</t>
        </is>
      </c>
      <c r="B27" s="16">
        <f>COUNTIF('E2E Journeys'!$A$2:$A$39,A27)</f>
        <v/>
      </c>
      <c r="C27" s="16">
        <f>COUNTIFS('E2E Journeys'!$A$2:$A$39,$A27,'E2E Journeys'!$G$2:$G$39,"Pass")</f>
        <v/>
      </c>
      <c r="D27" s="16">
        <f>COUNTIFS('E2E Journeys'!$A$2:$A$39,$A27,'E2E Journeys'!$G$2:$G$39,"Fail")</f>
        <v/>
      </c>
      <c r="E27" s="16">
        <f>COUNTIFS('E2E Journeys'!$A$2:$A$39,$A27,'E2E Journeys'!$G$2:$G$39,"Blocked")</f>
        <v/>
      </c>
      <c r="F27" s="16">
        <f>B27-C27-D27-E27</f>
        <v/>
      </c>
      <c r="G27" s="17">
        <f>IF(B27=0,0,(C27+D27+E27)/B27)</f>
        <v/>
      </c>
      <c r="H27" s="17">
        <f>IF(C27+D27=0,0,C27/(C27+D27))</f>
        <v/>
      </c>
    </row>
    <row r="28">
      <c r="A28" s="15" t="inlineStr">
        <is>
          <t>E2E-02</t>
        </is>
      </c>
      <c r="B28" s="16">
        <f>COUNTIF('E2E Journeys'!$A$2:$A$39,A28)</f>
        <v/>
      </c>
      <c r="C28" s="16">
        <f>COUNTIFS('E2E Journeys'!$A$2:$A$39,$A28,'E2E Journeys'!$G$2:$G$39,"Pass")</f>
        <v/>
      </c>
      <c r="D28" s="16">
        <f>COUNTIFS('E2E Journeys'!$A$2:$A$39,$A28,'E2E Journeys'!$G$2:$G$39,"Fail")</f>
        <v/>
      </c>
      <c r="E28" s="16">
        <f>COUNTIFS('E2E Journeys'!$A$2:$A$39,$A28,'E2E Journeys'!$G$2:$G$39,"Blocked")</f>
        <v/>
      </c>
      <c r="F28" s="16">
        <f>B28-C28-D28-E28</f>
        <v/>
      </c>
      <c r="G28" s="17">
        <f>IF(B28=0,0,(C28+D28+E28)/B28)</f>
        <v/>
      </c>
      <c r="H28" s="17">
        <f>IF(C28+D28=0,0,C28/(C28+D28))</f>
        <v/>
      </c>
    </row>
    <row r="29">
      <c r="A29" s="15" t="inlineStr">
        <is>
          <t>E2E-03</t>
        </is>
      </c>
      <c r="B29" s="16">
        <f>COUNTIF('E2E Journeys'!$A$2:$A$39,A29)</f>
        <v/>
      </c>
      <c r="C29" s="16">
        <f>COUNTIFS('E2E Journeys'!$A$2:$A$39,$A29,'E2E Journeys'!$G$2:$G$39,"Pass")</f>
        <v/>
      </c>
      <c r="D29" s="16">
        <f>COUNTIFS('E2E Journeys'!$A$2:$A$39,$A29,'E2E Journeys'!$G$2:$G$39,"Fail")</f>
        <v/>
      </c>
      <c r="E29" s="16">
        <f>COUNTIFS('E2E Journeys'!$A$2:$A$39,$A29,'E2E Journeys'!$G$2:$G$39,"Blocked")</f>
        <v/>
      </c>
      <c r="F29" s="16">
        <f>B29-C29-D29-E29</f>
        <v/>
      </c>
      <c r="G29" s="17">
        <f>IF(B29=0,0,(C29+D29+E29)/B29)</f>
        <v/>
      </c>
      <c r="H29" s="17">
        <f>IF(C29+D29=0,0,C29/(C29+D29))</f>
        <v/>
      </c>
    </row>
    <row r="30">
      <c r="A30" s="15" t="inlineStr">
        <is>
          <t>E2E-04</t>
        </is>
      </c>
      <c r="B30" s="16">
        <f>COUNTIF('E2E Journeys'!$A$2:$A$39,A30)</f>
        <v/>
      </c>
      <c r="C30" s="16">
        <f>COUNTIFS('E2E Journeys'!$A$2:$A$39,$A30,'E2E Journeys'!$G$2:$G$39,"Pass")</f>
        <v/>
      </c>
      <c r="D30" s="16">
        <f>COUNTIFS('E2E Journeys'!$A$2:$A$39,$A30,'E2E Journeys'!$G$2:$G$39,"Fail")</f>
        <v/>
      </c>
      <c r="E30" s="16">
        <f>COUNTIFS('E2E Journeys'!$A$2:$A$39,$A30,'E2E Journeys'!$G$2:$G$39,"Blocked")</f>
        <v/>
      </c>
      <c r="F30" s="16">
        <f>B30-C30-D30-E30</f>
        <v/>
      </c>
      <c r="G30" s="17">
        <f>IF(B30=0,0,(C30+D30+E30)/B30)</f>
        <v/>
      </c>
      <c r="H30" s="17">
        <f>IF(C30+D30=0,0,C30/(C30+D30))</f>
        <v/>
      </c>
    </row>
    <row r="31">
      <c r="A31" s="15" t="inlineStr">
        <is>
          <t>E2E-05</t>
        </is>
      </c>
      <c r="B31" s="16">
        <f>COUNTIF('E2E Journeys'!$A$2:$A$39,A31)</f>
        <v/>
      </c>
      <c r="C31" s="16">
        <f>COUNTIFS('E2E Journeys'!$A$2:$A$39,$A31,'E2E Journeys'!$G$2:$G$39,"Pass")</f>
        <v/>
      </c>
      <c r="D31" s="16">
        <f>COUNTIFS('E2E Journeys'!$A$2:$A$39,$A31,'E2E Journeys'!$G$2:$G$39,"Fail")</f>
        <v/>
      </c>
      <c r="E31" s="16">
        <f>COUNTIFS('E2E Journeys'!$A$2:$A$39,$A31,'E2E Journeys'!$G$2:$G$39,"Blocked")</f>
        <v/>
      </c>
      <c r="F31" s="16">
        <f>B31-C31-D31-E31</f>
        <v/>
      </c>
      <c r="G31" s="17">
        <f>IF(B31=0,0,(C31+D31+E31)/B31)</f>
        <v/>
      </c>
      <c r="H31" s="17">
        <f>IF(C31+D31=0,0,C31/(C31+D31))</f>
        <v/>
      </c>
    </row>
    <row r="32">
      <c r="A32" s="15" t="inlineStr">
        <is>
          <t>E2E-06</t>
        </is>
      </c>
      <c r="B32" s="16">
        <f>COUNTIF('E2E Journeys'!$A$2:$A$39,A32)</f>
        <v/>
      </c>
      <c r="C32" s="16">
        <f>COUNTIFS('E2E Journeys'!$A$2:$A$39,$A32,'E2E Journeys'!$G$2:$G$39,"Pass")</f>
        <v/>
      </c>
      <c r="D32" s="16">
        <f>COUNTIFS('E2E Journeys'!$A$2:$A$39,$A32,'E2E Journeys'!$G$2:$G$39,"Fail")</f>
        <v/>
      </c>
      <c r="E32" s="16">
        <f>COUNTIFS('E2E Journeys'!$A$2:$A$39,$A32,'E2E Journeys'!$G$2:$G$39,"Blocked")</f>
        <v/>
      </c>
      <c r="F32" s="16">
        <f>B32-C32-D32-E32</f>
        <v/>
      </c>
      <c r="G32" s="17">
        <f>IF(B32=0,0,(C32+D32+E32)/B32)</f>
        <v/>
      </c>
      <c r="H32" s="17">
        <f>IF(C32+D32=0,0,C32/(C32+D32))</f>
        <v/>
      </c>
    </row>
    <row r="33">
      <c r="A33" s="2" t="inlineStr">
        <is>
          <t>Journey names are on the E2E Journeys sheet.</t>
        </is>
      </c>
    </row>
    <row r="35">
      <c r="A35" s="3" t="inlineStr">
        <is>
          <t>Defects</t>
        </is>
      </c>
    </row>
    <row r="36" ht="30" customHeight="1">
      <c r="A36" s="13" t="inlineStr">
        <is>
          <t>Severity</t>
        </is>
      </c>
      <c r="B36" s="14" t="inlineStr">
        <is>
          <t>Logged</t>
        </is>
      </c>
      <c r="C36" s="14" t="inlineStr">
        <is>
          <t>Open</t>
        </is>
      </c>
      <c r="D36" s="14" t="inlineStr">
        <is>
          <t>Closed</t>
        </is>
      </c>
      <c r="E36" s="14" t="inlineStr"/>
      <c r="F36" s="14" t="inlineStr"/>
      <c r="G36" s="14" t="inlineStr"/>
      <c r="H36" s="14" t="inlineStr"/>
    </row>
    <row r="37">
      <c r="A37" s="21" t="inlineStr">
        <is>
          <t>Critical</t>
        </is>
      </c>
      <c r="B37" s="22">
        <f>COUNTIF(Defects!$C$2:$C$101,A37)</f>
        <v/>
      </c>
      <c r="C37" s="22">
        <f>COUNTIFS(Defects!$C$2:$C$101,$A37,Defects!$K$2:$K$101,"Open")+COUNTIFS(Defects!$C$2:$C$101,$A37,Defects!$K$2:$K$101,"In progress")+COUNTIFS(Defects!$C$2:$C$101,$A37,Defects!$K$2:$K$101,"Fixed")+COUNTIFS(Defects!$C$2:$C$101,$A37,Defects!$K$2:$K$101,"Retest")</f>
        <v/>
      </c>
      <c r="D37" s="22">
        <f>COUNTIFS(Defects!$C$2:$C$101,$A37,Defects!$K$2:$K$101,"Closed")+COUNTIFS(Defects!$C$2:$C$101,$A37,Defects!$K$2:$K$101,"Not a defect")</f>
        <v/>
      </c>
    </row>
    <row r="38">
      <c r="A38" s="21" t="inlineStr">
        <is>
          <t>Major</t>
        </is>
      </c>
      <c r="B38" s="22">
        <f>COUNTIF(Defects!$C$2:$C$101,A38)</f>
        <v/>
      </c>
      <c r="C38" s="22">
        <f>COUNTIFS(Defects!$C$2:$C$101,$A38,Defects!$K$2:$K$101,"Open")+COUNTIFS(Defects!$C$2:$C$101,$A38,Defects!$K$2:$K$101,"In progress")+COUNTIFS(Defects!$C$2:$C$101,$A38,Defects!$K$2:$K$101,"Fixed")+COUNTIFS(Defects!$C$2:$C$101,$A38,Defects!$K$2:$K$101,"Retest")</f>
        <v/>
      </c>
      <c r="D38" s="22">
        <f>COUNTIFS(Defects!$C$2:$C$101,$A38,Defects!$K$2:$K$101,"Closed")+COUNTIFS(Defects!$C$2:$C$101,$A38,Defects!$K$2:$K$101,"Not a defect")</f>
        <v/>
      </c>
    </row>
    <row r="39">
      <c r="A39" s="21" t="inlineStr">
        <is>
          <t>Minor</t>
        </is>
      </c>
      <c r="B39" s="22">
        <f>COUNTIF(Defects!$C$2:$C$101,A39)</f>
        <v/>
      </c>
      <c r="C39" s="22">
        <f>COUNTIFS(Defects!$C$2:$C$101,$A39,Defects!$K$2:$K$101,"Open")+COUNTIFS(Defects!$C$2:$C$101,$A39,Defects!$K$2:$K$101,"In progress")+COUNTIFS(Defects!$C$2:$C$101,$A39,Defects!$K$2:$K$101,"Fixed")+COUNTIFS(Defects!$C$2:$C$101,$A39,Defects!$K$2:$K$101,"Retest")</f>
        <v/>
      </c>
      <c r="D39" s="22">
        <f>COUNTIFS(Defects!$C$2:$C$101,$A39,Defects!$K$2:$K$101,"Closed")+COUNTIFS(Defects!$C$2:$C$101,$A39,Defects!$K$2:$K$101,"Not a defect")</f>
        <v/>
      </c>
    </row>
    <row r="40">
      <c r="A40" s="2" t="inlineStr">
        <is>
          <t>"Open" here means logged but not yet Closed or marked Not a defect.</t>
        </is>
      </c>
    </row>
    <row r="42">
      <c r="A42" s="3" t="inlineStr">
        <is>
          <t>Proposed acceptance rule</t>
        </is>
      </c>
    </row>
    <row r="43" ht="30" customHeight="1">
      <c r="A43" s="5" t="inlineStr">
        <is>
          <t>All Critical and Major cases pass, no open Critical defects, and every Minor defect has an owner.</t>
        </is>
      </c>
    </row>
    <row r="44">
      <c r="A44" s="7" t="inlineStr">
        <is>
          <t>Open Critical defects right now:</t>
        </is>
      </c>
      <c r="C44" s="23">
        <f>C37</f>
        <v/>
      </c>
    </row>
    <row r="45">
      <c r="A45" s="7" t="inlineStr">
        <is>
          <t>Cases failed right now:</t>
        </is>
      </c>
      <c r="C45" s="23">
        <f>D15</f>
        <v/>
      </c>
    </row>
  </sheetData>
  <mergeCells count="1">
    <mergeCell ref="A43:H43"/>
  </mergeCells>
  <conditionalFormatting sqref="G6:G15">
    <cfRule type="dataBar" priority="1">
      <dataBar>
        <cfvo type="num" val="0"/>
        <cfvo type="num" val="1"/>
        <color rgb="008794AE"/>
      </dataBar>
    </cfRule>
  </conditionalFormatting>
  <conditionalFormatting sqref="C44:C45">
    <cfRule type="cellIs" priority="2" operator="greaterThan" dxfId="0">
      <formula>0</formula>
    </cfRule>
  </conditionalFormatting>
  <pageMargins left="0.75" right="0.75" top="1" bottom="1" header="0.5" footer="0.5"/>
  <pageSetup orientation="portrait" fitToHeight="0" fitToWidth="1"/>
</worksheet>
</file>

<file path=xl/worksheets/sheet3.xml><?xml version="1.0" encoding="utf-8"?>
<worksheet xmlns="http://schemas.openxmlformats.org/spreadsheetml/2006/main">
  <sheetPr>
    <tabColor rgb="001F7A55"/>
    <outlinePr summaryBelow="1" summaryRight="1"/>
    <pageSetUpPr fitToPage="1"/>
  </sheetPr>
  <dimension ref="A1:L18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6" customWidth="1" min="2" max="2"/>
    <col width="24" customWidth="1" min="3" max="3"/>
    <col width="9" customWidth="1" min="4" max="4"/>
    <col width="38" customWidth="1" min="5" max="5"/>
    <col width="62" customWidth="1" min="6" max="6"/>
    <col width="62" customWidth="1" min="7" max="7"/>
    <col width="12" customWidth="1" min="8" max="8"/>
    <col width="14" customWidth="1" min="9" max="9"/>
    <col width="13" customWidth="1" min="10" max="10"/>
    <col width="12" customWidth="1" min="11" max="11"/>
    <col width="32" customWidth="1" min="12" max="12"/>
  </cols>
  <sheetData>
    <row r="1" ht="30" customHeight="1">
      <c r="A1" s="9" t="inlineStr">
        <is>
          <t>ID</t>
        </is>
      </c>
      <c r="B1" s="9" t="inlineStr">
        <is>
          <t>Role (point of view)</t>
        </is>
      </c>
      <c r="C1" s="9" t="inlineStr">
        <is>
          <t>Area</t>
        </is>
      </c>
      <c r="D1" s="9" t="inlineStr">
        <is>
          <t>Type</t>
        </is>
      </c>
      <c r="E1" s="9" t="inlineStr">
        <is>
          <t>Scenario</t>
        </is>
      </c>
      <c r="F1" s="9" t="inlineStr">
        <is>
          <t>Steps</t>
        </is>
      </c>
      <c r="G1" s="9" t="inlineStr">
        <is>
          <t>Expected result</t>
        </is>
      </c>
      <c r="H1" s="9" t="inlineStr">
        <is>
          <t>Status</t>
        </is>
      </c>
      <c r="I1" s="9" t="inlineStr">
        <is>
          <t>Tester</t>
        </is>
      </c>
      <c r="J1" s="9" t="inlineStr">
        <is>
          <t>Date tested</t>
        </is>
      </c>
      <c r="K1" s="9" t="inlineStr">
        <is>
          <t>Defect ID</t>
        </is>
      </c>
      <c r="L1" s="9" t="inlineStr">
        <is>
          <t>Notes</t>
        </is>
      </c>
    </row>
    <row r="2" ht="43" customHeight="1">
      <c r="A2" s="24" t="inlineStr">
        <is>
          <t>ACC-01</t>
        </is>
      </c>
      <c r="B2" s="25" t="inlineStr">
        <is>
          <t>Everyone</t>
        </is>
      </c>
      <c r="C2" s="25" t="inlineStr">
        <is>
          <t>Sign-in, access and shared tools</t>
        </is>
      </c>
      <c r="D2" s="26" t="inlineStr">
        <is>
          <t>Happy</t>
        </is>
      </c>
      <c r="E2" s="25" t="inlineStr">
        <is>
          <t>Each role signs in and lands in the right place</t>
        </is>
      </c>
      <c r="F2" s="25" t="inlineStr">
        <is>
          <t>1. Sign in as Dispatcher, note the page and the top bar.
2. Sign out. Repeat for Warehouse Crew, Manager, Admin, Finance.</t>
        </is>
      </c>
      <c r="G2" s="25" t="inlineStr">
        <is>
          <t>Dispatcher and Warehouse Crew land on My Tasks. Manager, Admin and Finance land on Dashboard. The top bar always reads "Name · Role" (for example "Grace Tan · Manager").</t>
        </is>
      </c>
      <c r="H2" s="27" t="inlineStr">
        <is>
          <t>Pass</t>
        </is>
      </c>
      <c r="I2" s="28" t="inlineStr">
        <is>
          <t>Claude (automated, Playwright)</t>
        </is>
      </c>
      <c r="J2" s="29" t="n">
        <v>46294</v>
      </c>
      <c r="K2" s="27" t="n"/>
      <c r="L2" s="28" t="inlineStr">
        <is>
          <t>Automated pass, 10 checks.</t>
        </is>
      </c>
    </row>
    <row r="3" ht="82" customHeight="1">
      <c r="A3" s="24" t="inlineStr">
        <is>
          <t>ACC-02</t>
        </is>
      </c>
      <c r="B3" s="25" t="inlineStr">
        <is>
          <t>Everyone</t>
        </is>
      </c>
      <c r="C3" s="25" t="inlineStr">
        <is>
          <t>Sign-in, access and shared tools</t>
        </is>
      </c>
      <c r="D3" s="26" t="inlineStr">
        <is>
          <t>Access</t>
        </is>
      </c>
      <c r="E3" s="25" t="inlineStr">
        <is>
          <t>Sidebar shows only what the role may use</t>
        </is>
      </c>
      <c r="F3" s="25" t="inlineStr">
        <is>
          <t>Sign in as each role and read the left menu.</t>
        </is>
      </c>
      <c r="G3" s="25" t="inlineStr">
        <is>
          <t>Dispatcher: My Tasks, Dashboard, Customers, Inquiries &amp; Quotations, Shipment Jobs. Warehouse Crew: My Tasks, Shipment Jobs. Manager: Dashboard, Customers, Inquiries &amp; Quotations, Shipment Jobs, Audit Trail. Admin: the same as Manager plus Users &amp; Roles. Finance: Dashboard, Shipment Jobs, Audit Trail. Nothing extra is shown greyed out.</t>
        </is>
      </c>
      <c r="H3" s="27" t="inlineStr">
        <is>
          <t>Pass</t>
        </is>
      </c>
      <c r="I3" s="28" t="inlineStr">
        <is>
          <t>Claude (automated, Playwright)</t>
        </is>
      </c>
      <c r="J3" s="29" t="n">
        <v>46294</v>
      </c>
      <c r="K3" s="27" t="n"/>
      <c r="L3" s="28" t="inlineStr">
        <is>
          <t>Automated pass, 10 checks.</t>
        </is>
      </c>
    </row>
    <row r="4" ht="69" customHeight="1">
      <c r="A4" s="24" t="inlineStr">
        <is>
          <t>ACC-03</t>
        </is>
      </c>
      <c r="B4" s="25" t="inlineStr">
        <is>
          <t>Everyone</t>
        </is>
      </c>
      <c r="C4" s="25" t="inlineStr">
        <is>
          <t>Sign-in, access and shared tools</t>
        </is>
      </c>
      <c r="D4" s="26" t="inlineStr">
        <is>
          <t>Wrong</t>
        </is>
      </c>
      <c r="E4" s="25" t="inlineStr">
        <is>
          <t>Typing the address of a page the role may not open</t>
        </is>
      </c>
      <c r="F4" s="25" t="inlineStr">
        <is>
          <t>1. As Manager, change the address ending to #/users and press Enter.
2. As Dispatcher, use #/audit.
3. As Warehouse Crew, use #/dashboard.
4. As Finance, use #/customers.</t>
        </is>
      </c>
      <c r="G4" s="25" t="inlineStr">
        <is>
          <t>Each time you see "Not available for your role" and a sentence naming the module. No data from that page is shown.</t>
        </is>
      </c>
      <c r="H4" s="27" t="inlineStr">
        <is>
          <t>Pass</t>
        </is>
      </c>
      <c r="I4" s="28" t="inlineStr">
        <is>
          <t>Claude (automated, Playwright)</t>
        </is>
      </c>
      <c r="J4" s="29" t="n">
        <v>46294</v>
      </c>
      <c r="K4" s="27" t="n"/>
      <c r="L4" s="28" t="inlineStr">
        <is>
          <t>Automated pass, 12 checks.</t>
        </is>
      </c>
    </row>
    <row r="5" ht="43" customHeight="1">
      <c r="A5" s="24" t="inlineStr">
        <is>
          <t>ACC-04</t>
        </is>
      </c>
      <c r="B5" s="25" t="inlineStr">
        <is>
          <t>Everyone</t>
        </is>
      </c>
      <c r="C5" s="25" t="inlineStr">
        <is>
          <t>Sign-in, access and shared tools</t>
        </is>
      </c>
      <c r="D5" s="26" t="inlineStr">
        <is>
          <t>Wrong</t>
        </is>
      </c>
      <c r="E5" s="25" t="inlineStr">
        <is>
          <t>Opening the app without signing in</t>
        </is>
      </c>
      <c r="F5" s="25" t="inlineStr">
        <is>
          <t>1. Refresh the page.
2. In the address bar type #/dashboard after the file name and press Enter.</t>
        </is>
      </c>
      <c r="G5" s="25" t="inlineStr">
        <is>
          <t>You are taken to the sign-in screen. No dashboard content flashes.</t>
        </is>
      </c>
      <c r="H5" s="27" t="inlineStr">
        <is>
          <t>Pass</t>
        </is>
      </c>
      <c r="I5" s="28" t="inlineStr">
        <is>
          <t>Claude (automated, Playwright)</t>
        </is>
      </c>
      <c r="J5" s="29" t="n">
        <v>46294</v>
      </c>
      <c r="K5" s="27" t="n"/>
      <c r="L5" s="28" t="inlineStr">
        <is>
          <t>Automated pass, 5 checks.</t>
        </is>
      </c>
    </row>
    <row r="6" ht="43" customHeight="1">
      <c r="A6" s="24" t="inlineStr">
        <is>
          <t>ACC-05</t>
        </is>
      </c>
      <c r="B6" s="25" t="inlineStr">
        <is>
          <t>Everyone</t>
        </is>
      </c>
      <c r="C6" s="25" t="inlineStr">
        <is>
          <t>Sign-in, access and shared tools</t>
        </is>
      </c>
      <c r="D6" s="26" t="inlineStr">
        <is>
          <t>Wrong</t>
        </is>
      </c>
      <c r="E6" s="25" t="inlineStr">
        <is>
          <t>Going back after signing out</t>
        </is>
      </c>
      <c r="F6" s="25" t="inlineStr">
        <is>
          <t>1. Sign in as any role and open a job.
2. Sign out.
3. Press the browser Back button several times.</t>
        </is>
      </c>
      <c r="G6" s="25" t="inlineStr">
        <is>
          <t>You always end on the sign-in screen. No protected page is shown.</t>
        </is>
      </c>
      <c r="H6" s="27" t="inlineStr">
        <is>
          <t>Pass</t>
        </is>
      </c>
      <c r="I6" s="28" t="inlineStr">
        <is>
          <t>Claude (automated, Playwright)</t>
        </is>
      </c>
      <c r="J6" s="29" t="n">
        <v>46294</v>
      </c>
      <c r="K6" s="27" t="n"/>
      <c r="L6" s="28" t="inlineStr">
        <is>
          <t>Automated pass, 3 checks.</t>
        </is>
      </c>
    </row>
    <row r="7" ht="56" customHeight="1">
      <c r="A7" s="24" t="inlineStr">
        <is>
          <t>ACC-06</t>
        </is>
      </c>
      <c r="B7" s="25" t="inlineStr">
        <is>
          <t>Everyone</t>
        </is>
      </c>
      <c r="C7" s="25" t="inlineStr">
        <is>
          <t>Sign-in, access and shared tools</t>
        </is>
      </c>
      <c r="D7" s="26" t="inlineStr">
        <is>
          <t>Happy</t>
        </is>
      </c>
      <c r="E7" s="25" t="inlineStr">
        <is>
          <t>Global search with the keyboard</t>
        </is>
      </c>
      <c r="F7" s="25" t="inlineStr">
        <is>
          <t>1. As Manager press Ctrl+K (Cmd+K on Mac).
2. Type blue.
3. Press the down arrow, then Enter.
4. Press Ctrl+K again and press Esc.</t>
        </is>
      </c>
      <c r="G7" s="25" t="inlineStr">
        <is>
          <t>A "Jump to a job or customer" box opens. blue lists the customer BlueWave Distribution Corp. and jobs for that customer. Enter opens the highlighted item. Esc closes the box.</t>
        </is>
      </c>
      <c r="H7" s="27" t="inlineStr">
        <is>
          <t>Pass</t>
        </is>
      </c>
      <c r="I7" s="28" t="inlineStr">
        <is>
          <t>Claude (automated, Playwright)</t>
        </is>
      </c>
      <c r="J7" s="29" t="n">
        <v>46294</v>
      </c>
      <c r="K7" s="27" t="n"/>
      <c r="L7" s="28" t="inlineStr">
        <is>
          <t>Automated pass, 6 checks.</t>
        </is>
      </c>
    </row>
    <row r="8" ht="30" customHeight="1">
      <c r="A8" s="24" t="inlineStr">
        <is>
          <t>ACC-07</t>
        </is>
      </c>
      <c r="B8" s="25" t="inlineStr">
        <is>
          <t>Everyone</t>
        </is>
      </c>
      <c r="C8" s="25" t="inlineStr">
        <is>
          <t>Sign-in, access and shared tools</t>
        </is>
      </c>
      <c r="D8" s="26" t="inlineStr">
        <is>
          <t>Wrong</t>
        </is>
      </c>
      <c r="E8" s="25" t="inlineStr">
        <is>
          <t>Search with nothing found</t>
        </is>
      </c>
      <c r="F8" s="25" t="inlineStr">
        <is>
          <t>1. Press Ctrl+K.
2. Type zzzz.</t>
        </is>
      </c>
      <c r="G8" s="25" t="inlineStr">
        <is>
          <t>The list says No jobs or customers match "zzzz". Nothing breaks.</t>
        </is>
      </c>
      <c r="H8" s="27" t="inlineStr">
        <is>
          <t>Pass</t>
        </is>
      </c>
      <c r="I8" s="28" t="inlineStr">
        <is>
          <t>Claude (automated, Playwright)</t>
        </is>
      </c>
      <c r="J8" s="29" t="n">
        <v>46294</v>
      </c>
      <c r="K8" s="27" t="n"/>
      <c r="L8" s="28" t="inlineStr">
        <is>
          <t>Automated pass, 1 checks.</t>
        </is>
      </c>
    </row>
    <row r="9" ht="43" customHeight="1">
      <c r="A9" s="24" t="inlineStr">
        <is>
          <t>ACC-08</t>
        </is>
      </c>
      <c r="B9" s="25" t="inlineStr">
        <is>
          <t>Everyone</t>
        </is>
      </c>
      <c r="C9" s="25" t="inlineStr">
        <is>
          <t>Sign-in, access and shared tools</t>
        </is>
      </c>
      <c r="D9" s="26" t="inlineStr">
        <is>
          <t>Access</t>
        </is>
      </c>
      <c r="E9" s="25" t="inlineStr">
        <is>
          <t>Search only offers what the role may open</t>
        </is>
      </c>
      <c r="F9" s="25" t="inlineStr">
        <is>
          <t>1. As Finance, press Ctrl+K and type sample.
2. As Warehouse Crew (Ben), press Ctrl+K with the box empty, then type SJ-2026-00088.</t>
        </is>
      </c>
      <c r="G9" s="25" t="inlineStr">
        <is>
          <t>Finance sees jobs but no customers. Ben sees only his four assigned jobs and no result for SJ-2026-00088.</t>
        </is>
      </c>
      <c r="H9" s="27" t="inlineStr">
        <is>
          <t>Pass</t>
        </is>
      </c>
      <c r="I9" s="28" t="inlineStr">
        <is>
          <t>Claude (automated, Playwright)</t>
        </is>
      </c>
      <c r="J9" s="29" t="n">
        <v>46294</v>
      </c>
      <c r="K9" s="27" t="n"/>
      <c r="L9" s="28" t="inlineStr">
        <is>
          <t>Automated pass, 3 checks.</t>
        </is>
      </c>
    </row>
    <row r="10" ht="56" customHeight="1">
      <c r="A10" s="24" t="inlineStr">
        <is>
          <t>ACC-09</t>
        </is>
      </c>
      <c r="B10" s="25" t="inlineStr">
        <is>
          <t>Everyone</t>
        </is>
      </c>
      <c r="C10" s="25" t="inlineStr">
        <is>
          <t>Sign-in, access and shared tools</t>
        </is>
      </c>
      <c r="D10" s="26" t="inlineStr">
        <is>
          <t>Happy</t>
        </is>
      </c>
      <c r="E10" s="25" t="inlineStr">
        <is>
          <t>Notifications</t>
        </is>
      </c>
      <c r="F10" s="25" t="inlineStr">
        <is>
          <t>Click the bell icon in the top bar.</t>
        </is>
      </c>
      <c r="G10" s="25" t="inlineStr">
        <is>
          <t>A "Notifications" panel slides in showing an illustrative overdue-task email (task "Lodge customs entry" on SJ-2026-00082, addressed to Cathy Lim) and a warning that it is a mock. Close it with the X.</t>
        </is>
      </c>
      <c r="H10" s="27" t="inlineStr">
        <is>
          <t>Pass</t>
        </is>
      </c>
      <c r="I10" s="28" t="inlineStr">
        <is>
          <t>Claude (automated, Playwright)</t>
        </is>
      </c>
      <c r="J10" s="29" t="n">
        <v>46294</v>
      </c>
      <c r="K10" s="27" t="n"/>
      <c r="L10" s="28" t="inlineStr">
        <is>
          <t>Automated pass, 6 checks.</t>
        </is>
      </c>
    </row>
    <row r="11" ht="30" customHeight="1">
      <c r="A11" s="24" t="inlineStr">
        <is>
          <t>ACC-10</t>
        </is>
      </c>
      <c r="B11" s="25" t="inlineStr">
        <is>
          <t>Everyone</t>
        </is>
      </c>
      <c r="C11" s="25" t="inlineStr">
        <is>
          <t>Sign-in, access and shared tools</t>
        </is>
      </c>
      <c r="D11" s="26" t="inlineStr">
        <is>
          <t>Happy</t>
        </is>
      </c>
      <c r="E11" s="25" t="inlineStr">
        <is>
          <t>Demo role switch</t>
        </is>
      </c>
      <c r="F11" s="25" t="inlineStr">
        <is>
          <t>1. Sign in as Manager, open a job.
2. Avatar menu, Demo: switch role, choose Finance.</t>
        </is>
      </c>
      <c r="G11" s="25" t="inlineStr">
        <is>
          <t>The top bar and sidebar change to Finance. The job stays open but shows only the Overview and Charges tabs.</t>
        </is>
      </c>
      <c r="H11" s="27" t="inlineStr">
        <is>
          <t>Pass</t>
        </is>
      </c>
      <c r="I11" s="28" t="inlineStr">
        <is>
          <t>Claude (automated, Playwright)</t>
        </is>
      </c>
      <c r="J11" s="29" t="n">
        <v>46294</v>
      </c>
      <c r="K11" s="27" t="n"/>
      <c r="L11" s="28" t="inlineStr">
        <is>
          <t>Automated pass, 4 checks.</t>
        </is>
      </c>
    </row>
    <row r="12" ht="30" customHeight="1">
      <c r="A12" s="24" t="inlineStr">
        <is>
          <t>ACC-11</t>
        </is>
      </c>
      <c r="B12" s="25" t="inlineStr">
        <is>
          <t>Everyone</t>
        </is>
      </c>
      <c r="C12" s="25" t="inlineStr">
        <is>
          <t>Sign-in, access and shared tools</t>
        </is>
      </c>
      <c r="D12" s="26" t="inlineStr">
        <is>
          <t>Edge</t>
        </is>
      </c>
      <c r="E12" s="25" t="inlineStr">
        <is>
          <t>Switching role while on a page the new role cannot open</t>
        </is>
      </c>
      <c r="F12" s="25" t="inlineStr">
        <is>
          <t>1. As Admin, open Users &amp; Roles.
2. Switch role to Manager.</t>
        </is>
      </c>
      <c r="G12" s="25" t="inlineStr">
        <is>
          <t>You are moved to the Dashboard instead of an error page.</t>
        </is>
      </c>
      <c r="H12" s="27" t="inlineStr">
        <is>
          <t>Pass</t>
        </is>
      </c>
      <c r="I12" s="28" t="inlineStr">
        <is>
          <t>Claude (automated, Playwright)</t>
        </is>
      </c>
      <c r="J12" s="29" t="n">
        <v>46294</v>
      </c>
      <c r="K12" s="27" t="n"/>
      <c r="L12" s="28" t="inlineStr">
        <is>
          <t>Automated pass, 3 checks.</t>
        </is>
      </c>
    </row>
    <row r="13" ht="30" customHeight="1">
      <c r="A13" s="24" t="inlineStr">
        <is>
          <t>ACC-12</t>
        </is>
      </c>
      <c r="B13" s="25" t="inlineStr">
        <is>
          <t>Everyone</t>
        </is>
      </c>
      <c r="C13" s="25" t="inlineStr">
        <is>
          <t>Sign-in, access and shared tools</t>
        </is>
      </c>
      <c r="D13" s="26" t="inlineStr">
        <is>
          <t>Wrong</t>
        </is>
      </c>
      <c r="E13" s="25" t="inlineStr">
        <is>
          <t>Job or page that does not exist</t>
        </is>
      </c>
      <c r="F13" s="25" t="inlineStr">
        <is>
          <t>1. Signed in as Manager, go to #/jobs/SJ-2026-99999.
2. Go to #/customers/CUST-99.</t>
        </is>
      </c>
      <c r="G13" s="25" t="inlineStr">
        <is>
          <t>"Job not found." and "Customer not found." messages. No crash.</t>
        </is>
      </c>
      <c r="H13" s="27" t="inlineStr">
        <is>
          <t>Pass</t>
        </is>
      </c>
      <c r="I13" s="28" t="inlineStr">
        <is>
          <t>Claude (automated, Playwright)</t>
        </is>
      </c>
      <c r="J13" s="29" t="n">
        <v>46294</v>
      </c>
      <c r="K13" s="27" t="n"/>
      <c r="L13" s="28" t="inlineStr">
        <is>
          <t>Automated pass, 2 checks.</t>
        </is>
      </c>
    </row>
    <row r="14" ht="30" customHeight="1">
      <c r="A14" s="24" t="inlineStr">
        <is>
          <t>ACC-13</t>
        </is>
      </c>
      <c r="B14" s="25" t="inlineStr">
        <is>
          <t>Everyone</t>
        </is>
      </c>
      <c r="C14" s="25" t="inlineStr">
        <is>
          <t>Sign-in, access and shared tools</t>
        </is>
      </c>
      <c r="D14" s="26" t="inlineStr">
        <is>
          <t>Happy</t>
        </is>
      </c>
      <c r="E14" s="25" t="inlineStr">
        <is>
          <t>Customer tracking is reachable without an account</t>
        </is>
      </c>
      <c r="F14" s="25" t="inlineStr">
        <is>
          <t>On the sign-in screen click Track a shipment.</t>
        </is>
      </c>
      <c r="G14" s="25" t="inlineStr">
        <is>
          <t>The customer tracking page opens with no sign-in. (Full tests in section 10.)</t>
        </is>
      </c>
      <c r="H14" s="27" t="inlineStr">
        <is>
          <t>Pass</t>
        </is>
      </c>
      <c r="I14" s="28" t="inlineStr">
        <is>
          <t>Claude (automated, Playwright)</t>
        </is>
      </c>
      <c r="J14" s="29" t="n">
        <v>46294</v>
      </c>
      <c r="K14" s="27" t="n"/>
      <c r="L14" s="28" t="inlineStr">
        <is>
          <t>Automated pass, 2 checks.</t>
        </is>
      </c>
    </row>
    <row r="15" ht="69" customHeight="1">
      <c r="A15" s="24" t="inlineStr">
        <is>
          <t>DSP-01</t>
        </is>
      </c>
      <c r="B15" s="25" t="inlineStr">
        <is>
          <t>Dispatcher</t>
        </is>
      </c>
      <c r="C15" s="25" t="inlineStr">
        <is>
          <t>My work and dashboard</t>
        </is>
      </c>
      <c r="D15" s="26" t="inlineStr">
        <is>
          <t>Happy</t>
        </is>
      </c>
      <c r="E15" s="25" t="inlineStr">
        <is>
          <t>My Tasks after signing in</t>
        </is>
      </c>
      <c r="F15" s="25" t="inlineStr">
        <is>
          <t>Read the My Tasks page.</t>
        </is>
      </c>
      <c r="G15" s="25" t="inlineStr">
        <is>
          <t>Heading "My Tasks · Ana Cruz · Dispatcher". One section, Upcoming (12). No Overdue or Due-now sections. Each row shows job, task, customer, due date, status, and a Complete button. Tasks that need proof show an "evidence required" tag. There is no "Deliveries to confirm" section.</t>
        </is>
      </c>
      <c r="H15" s="27" t="inlineStr">
        <is>
          <t>Pass</t>
        </is>
      </c>
      <c r="I15" s="28" t="inlineStr">
        <is>
          <t>Claude (automated, Playwright)</t>
        </is>
      </c>
      <c r="J15" s="29" t="n">
        <v>46294</v>
      </c>
      <c r="K15" s="27" t="n"/>
      <c r="L15" s="28" t="inlineStr">
        <is>
          <t>Automated pass, 9 checks.</t>
        </is>
      </c>
    </row>
    <row r="16" ht="82" customHeight="1">
      <c r="A16" s="24" t="inlineStr">
        <is>
          <t>DSP-02</t>
        </is>
      </c>
      <c r="B16" s="25" t="inlineStr">
        <is>
          <t>Dispatcher</t>
        </is>
      </c>
      <c r="C16" s="25" t="inlineStr">
        <is>
          <t>My work and dashboard</t>
        </is>
      </c>
      <c r="D16" s="26" t="inlineStr">
        <is>
          <t>Access</t>
        </is>
      </c>
      <c r="E16" s="25" t="inlineStr">
        <is>
          <t>Dashboard is limited to Ana's customers and hides money</t>
        </is>
      </c>
      <c r="F16" s="25" t="inlineStr">
        <is>
          <t>Click Dashboard.</t>
        </is>
      </c>
      <c r="G16" s="25" t="inlineStr">
        <is>
          <t>Cards: Active jobs 7, Overdue tasks 0, Missing / rejected docs 5, Open exceptions 0, Billing ready 2. The status ring reads "7 your jobs". Page subtitle says "Your jobs — Ana Cruz". No "Jobs short on funds" card or list, no "Cost &amp; margin" section. The "Billing readiness" table shows status only, no peso amounts and no Charges column.</t>
        </is>
      </c>
      <c r="H16" s="27" t="inlineStr">
        <is>
          <t>Pass</t>
        </is>
      </c>
      <c r="I16" s="28" t="inlineStr">
        <is>
          <t>Claude (automated, Playwright)</t>
        </is>
      </c>
      <c r="J16" s="29" t="n">
        <v>46294</v>
      </c>
      <c r="K16" s="27" t="n"/>
      <c r="L16" s="28" t="inlineStr">
        <is>
          <t>Automated pass, 12 checks.</t>
        </is>
      </c>
    </row>
    <row r="17" ht="43" customHeight="1">
      <c r="A17" s="24" t="inlineStr">
        <is>
          <t>DSP-03</t>
        </is>
      </c>
      <c r="B17" s="25" t="inlineStr">
        <is>
          <t>Dispatcher</t>
        </is>
      </c>
      <c r="C17" s="25" t="inlineStr">
        <is>
          <t>My work and dashboard</t>
        </is>
      </c>
      <c r="D17" s="26" t="inlineStr">
        <is>
          <t>Happy</t>
        </is>
      </c>
      <c r="E17" s="25" t="inlineStr">
        <is>
          <t>Dashboard drill-down</t>
        </is>
      </c>
      <c r="F17" s="25" t="inlineStr">
        <is>
          <t>1. Click the Sailed entry in the status ring legend.
2. Go back to Dashboard and click a row in "Missing &amp; rejected documents".</t>
        </is>
      </c>
      <c r="G17" s="25" t="inlineStr">
        <is>
          <t>The first click opens Shipment Jobs already filtered to Sailed (SJ-2026-00088). The second opens SJ-2026-00110's Documents tab.</t>
        </is>
      </c>
      <c r="H17" s="27" t="inlineStr">
        <is>
          <t>Pass</t>
        </is>
      </c>
      <c r="I17" s="28" t="inlineStr">
        <is>
          <t>Claude (automated, Playwright)</t>
        </is>
      </c>
      <c r="J17" s="29" t="n">
        <v>46294</v>
      </c>
      <c r="K17" s="27" t="n"/>
      <c r="L17" s="28" t="inlineStr">
        <is>
          <t>Automated pass, 4 checks.</t>
        </is>
      </c>
    </row>
    <row r="18" ht="43" customHeight="1">
      <c r="A18" s="24" t="inlineStr">
        <is>
          <t>DSP-04</t>
        </is>
      </c>
      <c r="B18" s="25" t="inlineStr">
        <is>
          <t>Dispatcher</t>
        </is>
      </c>
      <c r="C18" s="25" t="inlineStr">
        <is>
          <t>My work and dashboard</t>
        </is>
      </c>
      <c r="D18" s="26" t="inlineStr">
        <is>
          <t>Happy</t>
        </is>
      </c>
      <c r="E18" s="25" t="inlineStr">
        <is>
          <t>Cathy's view of the same dashboard</t>
        </is>
      </c>
      <c r="F18" s="25" t="inlineStr">
        <is>
          <t>Deactivate Ana (2.2), sign in as Cathy Lim, open My Tasks then Dashboard.</t>
        </is>
      </c>
      <c r="G18" s="25" t="inlineStr">
        <is>
          <t>My Tasks shows Overdue (1): Lodge customs entry on SJ-2026-00082 (due 24 Sep 2026). Due now (3). Upcoming (11). Dashboard shows Overdue tasks 1.</t>
        </is>
      </c>
      <c r="H18" s="27" t="inlineStr">
        <is>
          <t>Pass</t>
        </is>
      </c>
      <c r="I18" s="28" t="inlineStr">
        <is>
          <t>Claude (automated, Playwright)</t>
        </is>
      </c>
      <c r="J18" s="29" t="n">
        <v>46294</v>
      </c>
      <c r="K18" s="27" t="n"/>
      <c r="L18" s="28" t="inlineStr">
        <is>
          <t>Automated pass, 5 checks.</t>
        </is>
      </c>
    </row>
    <row r="19" ht="69" customHeight="1">
      <c r="A19" s="24" t="inlineStr">
        <is>
          <t>DSP-05</t>
        </is>
      </c>
      <c r="B19" s="25" t="inlineStr">
        <is>
          <t>Dispatcher</t>
        </is>
      </c>
      <c r="C19" s="25" t="inlineStr">
        <is>
          <t>Customers</t>
        </is>
      </c>
      <c r="D19" s="26" t="inlineStr">
        <is>
          <t>Happy</t>
        </is>
      </c>
      <c r="E19" s="25" t="inlineStr">
        <is>
          <t>Find a customer and read their history</t>
        </is>
      </c>
      <c r="F19" s="25" t="inlineStr">
        <is>
          <t>1. Open Customers.
2. Type pacific in the search box.
3. Open Pacific Rim Logistics Partners.
4. Click the tabs Overview, Contacts &amp; Consignees, History.</t>
        </is>
      </c>
      <c r="G19" s="25" t="inlineStr">
        <is>
          <t>The list narrows to one customer (contact Liza Fernandez). Overview shows contact, requirements ("Dry van only, no reefer.") and delivery instructions. Contacts shows the consignee and delivery address. History links to inquiry INQ-2026-0043 and jobs SJ-2026-00088 and SJ-2026-00060.</t>
        </is>
      </c>
      <c r="H19" s="27" t="inlineStr">
        <is>
          <t>Pass</t>
        </is>
      </c>
      <c r="I19" s="28" t="inlineStr">
        <is>
          <t>Claude (automated, Playwright)</t>
        </is>
      </c>
      <c r="J19" s="29" t="n">
        <v>46294</v>
      </c>
      <c r="K19" s="27" t="n"/>
      <c r="L19" s="28" t="inlineStr">
        <is>
          <t>Automated pass, 11 checks.</t>
        </is>
      </c>
    </row>
    <row r="20" ht="18" customHeight="1">
      <c r="A20" s="24" t="inlineStr">
        <is>
          <t>DSP-06</t>
        </is>
      </c>
      <c r="B20" s="25" t="inlineStr">
        <is>
          <t>Dispatcher</t>
        </is>
      </c>
      <c r="C20" s="25" t="inlineStr">
        <is>
          <t>Customers</t>
        </is>
      </c>
      <c r="D20" s="26" t="inlineStr">
        <is>
          <t>Wrong</t>
        </is>
      </c>
      <c r="E20" s="25" t="inlineStr">
        <is>
          <t>Search finds nothing</t>
        </is>
      </c>
      <c r="F20" s="25" t="inlineStr">
        <is>
          <t>Type xyz in the customer search.</t>
        </is>
      </c>
      <c r="G20" s="25" t="inlineStr">
        <is>
          <t>Table says "No customers match your search."</t>
        </is>
      </c>
      <c r="H20" s="27" t="inlineStr">
        <is>
          <t>Pass</t>
        </is>
      </c>
      <c r="I20" s="28" t="inlineStr">
        <is>
          <t>Claude (automated, Playwright)</t>
        </is>
      </c>
      <c r="J20" s="29" t="n">
        <v>46294</v>
      </c>
      <c r="K20" s="27" t="n"/>
      <c r="L20" s="28" t="inlineStr">
        <is>
          <t>Automated pass, 1 checks.</t>
        </is>
      </c>
    </row>
    <row r="21" ht="56" customHeight="1">
      <c r="A21" s="24" t="inlineStr">
        <is>
          <t>DSP-07</t>
        </is>
      </c>
      <c r="B21" s="25" t="inlineStr">
        <is>
          <t>Dispatcher</t>
        </is>
      </c>
      <c r="C21" s="25" t="inlineStr">
        <is>
          <t>Customers</t>
        </is>
      </c>
      <c r="D21" s="26" t="inlineStr">
        <is>
          <t>Happy</t>
        </is>
      </c>
      <c r="E21" s="25" t="inlineStr">
        <is>
          <t>Register a new customer</t>
        </is>
      </c>
      <c r="F21" s="25" t="inlineStr">
        <is>
          <t>1. Click New customer.
2. Enter name Test Freight Co., contact Lea Ramos, address Pier 3, Manila.
3. Click Save customer.</t>
        </is>
      </c>
      <c r="G21" s="25" t="inlineStr">
        <is>
          <t>Message "Test Freight Co. saved." The customer now appears in the list (6 customers, sidebar count 6) with contact Lea Ramos.</t>
        </is>
      </c>
      <c r="H21" s="27" t="inlineStr">
        <is>
          <t>Pass</t>
        </is>
      </c>
      <c r="I21" s="28" t="inlineStr">
        <is>
          <t>Claude (automated, Playwright)</t>
        </is>
      </c>
      <c r="J21" s="29" t="n">
        <v>46294</v>
      </c>
      <c r="K21" s="27" t="n"/>
      <c r="L21" s="28" t="inlineStr">
        <is>
          <t>Automated pass, 5 checks.</t>
        </is>
      </c>
    </row>
    <row r="22" ht="30" customHeight="1">
      <c r="A22" s="24" t="inlineStr">
        <is>
          <t>DSP-08</t>
        </is>
      </c>
      <c r="B22" s="25" t="inlineStr">
        <is>
          <t>Dispatcher</t>
        </is>
      </c>
      <c r="C22" s="25" t="inlineStr">
        <is>
          <t>Customers</t>
        </is>
      </c>
      <c r="D22" s="26" t="inlineStr">
        <is>
          <t>Wrong</t>
        </is>
      </c>
      <c r="E22" s="25" t="inlineStr">
        <is>
          <t>Saving with no name</t>
        </is>
      </c>
      <c r="F22" s="25" t="inlineStr">
        <is>
          <t>Open New customer, leave the name empty, click Save customer.</t>
        </is>
      </c>
      <c r="G22" s="25" t="inlineStr">
        <is>
          <t>The name field shows "Enter the customer name." and the drawer stays open. Nothing is added.</t>
        </is>
      </c>
      <c r="H22" s="27" t="inlineStr">
        <is>
          <t>Pass</t>
        </is>
      </c>
      <c r="I22" s="28" t="inlineStr">
        <is>
          <t>Claude (automated, Playwright)</t>
        </is>
      </c>
      <c r="J22" s="29" t="n">
        <v>46294</v>
      </c>
      <c r="K22" s="27" t="n"/>
      <c r="L22" s="28" t="inlineStr">
        <is>
          <t>Automated pass, 3 checks.</t>
        </is>
      </c>
    </row>
    <row r="23" ht="43" customHeight="1">
      <c r="A23" s="24" t="inlineStr">
        <is>
          <t>DSP-09</t>
        </is>
      </c>
      <c r="B23" s="25" t="inlineStr">
        <is>
          <t>Dispatcher</t>
        </is>
      </c>
      <c r="C23" s="25" t="inlineStr">
        <is>
          <t>Customers</t>
        </is>
      </c>
      <c r="D23" s="26" t="inlineStr">
        <is>
          <t>Edge</t>
        </is>
      </c>
      <c r="E23" s="25" t="inlineStr">
        <is>
          <t>Duplicate customer name</t>
        </is>
      </c>
      <c r="F23" s="25" t="inlineStr">
        <is>
          <t>In New customer type Sample Trading Co.</t>
        </is>
      </c>
      <c r="G23" s="25" t="inlineStr">
        <is>
          <t>A warning appears at once: "Possible duplicate ... already exists (CUST-01). Review before creating a new record." Saving is still possible.</t>
        </is>
      </c>
      <c r="H23" s="27" t="inlineStr">
        <is>
          <t>Pass</t>
        </is>
      </c>
      <c r="I23" s="28" t="inlineStr">
        <is>
          <t>Claude (automated, Playwright)</t>
        </is>
      </c>
      <c r="J23" s="29" t="n">
        <v>46294</v>
      </c>
      <c r="K23" s="27" t="n"/>
      <c r="L23" s="28" t="inlineStr">
        <is>
          <t>Automated pass, 4 checks.</t>
        </is>
      </c>
    </row>
    <row r="24" ht="30" customHeight="1">
      <c r="A24" s="24" t="inlineStr">
        <is>
          <t>DSP-10</t>
        </is>
      </c>
      <c r="B24" s="25" t="inlineStr">
        <is>
          <t>Dispatcher</t>
        </is>
      </c>
      <c r="C24" s="25" t="inlineStr">
        <is>
          <t>Customers</t>
        </is>
      </c>
      <c r="D24" s="26" t="inlineStr">
        <is>
          <t>Happy</t>
        </is>
      </c>
      <c r="E24" s="25" t="inlineStr">
        <is>
          <t>Start an inquiry from a customer row</t>
        </is>
      </c>
      <c r="F24" s="25" t="inlineStr">
        <is>
          <t>On the customer list click the ⋮ on a row, choose New inquiry.</t>
        </is>
      </c>
      <c r="G24" s="25" t="inlineStr">
        <is>
          <t>The Register inquiry drawer opens with that customer already selected.</t>
        </is>
      </c>
      <c r="H24" s="27" t="inlineStr">
        <is>
          <t>Pass</t>
        </is>
      </c>
      <c r="I24" s="28" t="inlineStr">
        <is>
          <t>Claude (automated, Playwright)</t>
        </is>
      </c>
      <c r="J24" s="29" t="n">
        <v>46294</v>
      </c>
      <c r="K24" s="27" t="n"/>
      <c r="L24" s="28" t="inlineStr">
        <is>
          <t>Automated pass, 2 checks.</t>
        </is>
      </c>
    </row>
    <row r="25" ht="69" customHeight="1">
      <c r="A25" s="24" t="inlineStr">
        <is>
          <t>DSP-11</t>
        </is>
      </c>
      <c r="B25" s="25" t="inlineStr">
        <is>
          <t>Dispatcher</t>
        </is>
      </c>
      <c r="C25" s="25" t="inlineStr">
        <is>
          <t>Inquiries and quotations</t>
        </is>
      </c>
      <c r="D25" s="26" t="inlineStr">
        <is>
          <t>Happy</t>
        </is>
      </c>
      <c r="E25" s="25" t="inlineStr">
        <is>
          <t>Register an inquiry</t>
        </is>
      </c>
      <c r="F25" s="25" t="inlineStr">
        <is>
          <t>1. Inquiries &amp; Quotations, Register inquiry.
2. Customer Meridian Import Export Ltd., cargo Insured goods, 1x20ft, origin Shanghai, CN, port of entry Manila, PH, destination Pasig, PH.
3. Click Register inquiry.</t>
        </is>
      </c>
      <c r="G25" s="25" t="inlineStr">
        <is>
          <t>Message "Inquiry INQ-2026-0045 registered." The inquiry page opens, status New, assigned to Ana Cruz, with a warning "Missing required shipment info: Container type".</t>
        </is>
      </c>
      <c r="H25" s="27" t="inlineStr">
        <is>
          <t>Pass</t>
        </is>
      </c>
      <c r="I25" s="28" t="inlineStr">
        <is>
          <t>Claude (automated, Playwright)</t>
        </is>
      </c>
      <c r="J25" s="29" t="n">
        <v>46294</v>
      </c>
      <c r="K25" s="27" t="n"/>
      <c r="L25" s="28" t="inlineStr">
        <is>
          <t>Automated pass, 6 checks.</t>
        </is>
      </c>
    </row>
    <row r="26" ht="30" customHeight="1">
      <c r="A26" s="24" t="inlineStr">
        <is>
          <t>DSP-12</t>
        </is>
      </c>
      <c r="B26" s="25" t="inlineStr">
        <is>
          <t>Dispatcher</t>
        </is>
      </c>
      <c r="C26" s="25" t="inlineStr">
        <is>
          <t>Inquiries and quotations</t>
        </is>
      </c>
      <c r="D26" s="26" t="inlineStr">
        <is>
          <t>Wrong</t>
        </is>
      </c>
      <c r="E26" s="25" t="inlineStr">
        <is>
          <t>Register with required fields blank</t>
        </is>
      </c>
      <c r="F26" s="25" t="inlineStr">
        <is>
          <t>Open Register inquiry, enter only a cargo description, click the button.</t>
        </is>
      </c>
      <c r="G26" s="25" t="inlineStr">
        <is>
          <t>Message "Cargo, origin and destination are required." The drawer stays open. No inquiry is added.</t>
        </is>
      </c>
      <c r="H26" s="27" t="inlineStr">
        <is>
          <t>Pass</t>
        </is>
      </c>
      <c r="I26" s="28" t="inlineStr">
        <is>
          <t>Claude (automated, Playwright)</t>
        </is>
      </c>
      <c r="J26" s="29" t="n">
        <v>46294</v>
      </c>
      <c r="K26" s="27" t="n"/>
      <c r="L26" s="28" t="inlineStr">
        <is>
          <t>Automated pass, 3 checks.</t>
        </is>
      </c>
    </row>
    <row r="27" ht="43" customHeight="1">
      <c r="A27" s="24" t="inlineStr">
        <is>
          <t>DSP-13</t>
        </is>
      </c>
      <c r="B27" s="25" t="inlineStr">
        <is>
          <t>Dispatcher</t>
        </is>
      </c>
      <c r="C27" s="25" t="inlineStr">
        <is>
          <t>Inquiries and quotations</t>
        </is>
      </c>
      <c r="D27" s="26" t="inlineStr">
        <is>
          <t>Edge</t>
        </is>
      </c>
      <c r="E27" s="25" t="inlineStr">
        <is>
          <t>Missing port of entry is called out</t>
        </is>
      </c>
      <c r="F27" s="25" t="inlineStr">
        <is>
          <t>Register an inquiry with cargo, origin and destination but no port of entry.</t>
        </is>
      </c>
      <c r="G27" s="25" t="inlineStr">
        <is>
          <t>The new inquiry's warning lists both Port of entry and Container type. It is assigned to the customer's dispatcher (Cathy Lim for Golden Harvest or BlueWave).</t>
        </is>
      </c>
      <c r="H27" s="27" t="inlineStr">
        <is>
          <t>Pass</t>
        </is>
      </c>
      <c r="I27" s="28" t="inlineStr">
        <is>
          <t>Claude (automated, Playwright)</t>
        </is>
      </c>
      <c r="J27" s="29" t="n">
        <v>46294</v>
      </c>
      <c r="K27" s="27" t="n"/>
      <c r="L27" s="28" t="inlineStr">
        <is>
          <t>Automated pass, 4 checks.</t>
        </is>
      </c>
    </row>
    <row r="28" ht="43" customHeight="1">
      <c r="A28" s="24" t="inlineStr">
        <is>
          <t>DSP-14</t>
        </is>
      </c>
      <c r="B28" s="25" t="inlineStr">
        <is>
          <t>Dispatcher</t>
        </is>
      </c>
      <c r="C28" s="25" t="inlineStr">
        <is>
          <t>Inquiries and quotations</t>
        </is>
      </c>
      <c r="D28" s="26" t="inlineStr">
        <is>
          <t>Happy</t>
        </is>
      </c>
      <c r="E28" s="25" t="inlineStr">
        <is>
          <t>Create a quotation</t>
        </is>
      </c>
      <c r="F28" s="25" t="inlineStr">
        <is>
          <t>1. Open INQ-2026-0043 (status New).
2. Click Create quotation.</t>
        </is>
      </c>
      <c r="G28" s="25" t="inlineStr">
        <is>
          <t>Quotation QT-2026-0044 opens: version v1, total ₱150,000.00, terms Net 30, status Pending customer approval. Going back, the inquiry is now Quoted.</t>
        </is>
      </c>
      <c r="H28" s="27" t="inlineStr">
        <is>
          <t>Pass</t>
        </is>
      </c>
      <c r="I28" s="28" t="inlineStr">
        <is>
          <t>Claude (automated, Playwright)</t>
        </is>
      </c>
      <c r="J28" s="29" t="n">
        <v>46294</v>
      </c>
      <c r="K28" s="27" t="n"/>
      <c r="L28" s="28" t="inlineStr">
        <is>
          <t>Automated pass, 7 checks.</t>
        </is>
      </c>
    </row>
    <row r="29" ht="30" customHeight="1">
      <c r="A29" s="24" t="inlineStr">
        <is>
          <t>DSP-15</t>
        </is>
      </c>
      <c r="B29" s="25" t="inlineStr">
        <is>
          <t>Dispatcher</t>
        </is>
      </c>
      <c r="C29" s="25" t="inlineStr">
        <is>
          <t>Inquiries and quotations</t>
        </is>
      </c>
      <c r="D29" s="26" t="inlineStr">
        <is>
          <t>Happy</t>
        </is>
      </c>
      <c r="E29" s="25" t="inlineStr">
        <is>
          <t>Revise a quotation and keep history</t>
        </is>
      </c>
      <c r="F29" s="25" t="inlineStr">
        <is>
          <t>1. On QT-2026-0044 click Add revision.
2. Click the v1 tab, then v2.</t>
        </is>
      </c>
      <c r="G29" s="25" t="inlineStr">
        <is>
          <t>A v2 tab appears with the note "Revised, copy of v1, pending edits." v1 is still there and unchanged.</t>
        </is>
      </c>
      <c r="H29" s="27" t="inlineStr">
        <is>
          <t>Pass</t>
        </is>
      </c>
      <c r="I29" s="28" t="inlineStr">
        <is>
          <t>Claude (automated, Playwright)</t>
        </is>
      </c>
      <c r="J29" s="29" t="n">
        <v>46294</v>
      </c>
      <c r="K29" s="27" t="n"/>
      <c r="L29" s="28" t="inlineStr">
        <is>
          <t>Automated pass, 5 checks.</t>
        </is>
      </c>
    </row>
    <row r="30" ht="56" customHeight="1">
      <c r="A30" s="24" t="inlineStr">
        <is>
          <t>DSP-16</t>
        </is>
      </c>
      <c r="B30" s="25" t="inlineStr">
        <is>
          <t>Dispatcher</t>
        </is>
      </c>
      <c r="C30" s="25" t="inlineStr">
        <is>
          <t>Inquiries and quotations</t>
        </is>
      </c>
      <c r="D30" s="26" t="inlineStr">
        <is>
          <t>Happy</t>
        </is>
      </c>
      <c r="E30" s="25" t="inlineStr">
        <is>
          <t>See a multi-version approved quotation</t>
        </is>
      </c>
      <c r="F30" s="25" t="inlineStr">
        <is>
          <t>Open QT-2026-0041.</t>
        </is>
      </c>
      <c r="G30" s="25" t="inlineStr">
        <is>
          <t>Tabs v1, v2, v3. v1 total ₱186,000.00, v2 and v3 ₱174,500.00; v3 terms "Net 45". Green box "Customer approval recorded: Approved by Ana Reyes on 14 Sep 2026". Instead of a convert button there is Converted to SJ-2026-00101.</t>
        </is>
      </c>
      <c r="H30" s="27" t="inlineStr">
        <is>
          <t>Pass</t>
        </is>
      </c>
      <c r="I30" s="28" t="inlineStr">
        <is>
          <t>Claude (automated, Playwright)</t>
        </is>
      </c>
      <c r="J30" s="29" t="n">
        <v>46294</v>
      </c>
      <c r="K30" s="27" t="n"/>
      <c r="L30" s="28" t="inlineStr">
        <is>
          <t>Automated pass, 10 checks.</t>
        </is>
      </c>
    </row>
    <row r="31" ht="134" customHeight="1">
      <c r="A31" s="24" t="inlineStr">
        <is>
          <t>DSP-17</t>
        </is>
      </c>
      <c r="B31" s="25" t="inlineStr">
        <is>
          <t>Dispatcher</t>
        </is>
      </c>
      <c r="C31" s="25" t="inlineStr">
        <is>
          <t>Inquiries and quotations</t>
        </is>
      </c>
      <c r="D31" s="26" t="inlineStr">
        <is>
          <t>Happy</t>
        </is>
      </c>
      <c r="E31" s="25" t="inlineStr">
        <is>
          <t>Record customer approval (conforme) and convert</t>
        </is>
      </c>
      <c r="F31" s="25" t="inlineStr">
        <is>
          <t>1. Open QT-2026-0042.
2. Click Record customer approval / conforme, enter Marco Villanueva, click Save conforme.
3. Click Convert to Shipment Job.
4. Review the carry-over page, click Create Shipment Job.</t>
        </is>
      </c>
      <c r="G31" s="25" t="inlineStr">
        <is>
          <t>Message "Customer approval recorded." The quotation shows the green approval box. The carry-over page says "No re-keying needed" and lists customer Golden Harvest, cargo, route, approved total ₱245,000.00, conforme Marco Villanueva. Message "Shipment Job SJ-2026-00123 created." The new job is at Booked, ETA TBD, declared value ₱1,470,000.00, all five documents Missing (version 0), all seven tasks Pending (the first, "Verify shipment documents complete", is due 03 Oct 2026 and owned by Cathy Lim; "Deliver to consignee" is owned by Ben Santos). History shows "Job created" by Ana Cruz (Dispatcher).</t>
        </is>
      </c>
      <c r="H31" s="27" t="inlineStr">
        <is>
          <t>Pass</t>
        </is>
      </c>
      <c r="I31" s="28" t="inlineStr">
        <is>
          <t>Claude (automated, Playwright)</t>
        </is>
      </c>
      <c r="J31" s="29" t="n">
        <v>46294</v>
      </c>
      <c r="K31" s="27" t="n"/>
      <c r="L31" s="28" t="inlineStr">
        <is>
          <t>Automated pass, 19 checks.</t>
        </is>
      </c>
    </row>
    <row r="32" ht="43" customHeight="1">
      <c r="A32" s="24" t="inlineStr">
        <is>
          <t>DSP-18</t>
        </is>
      </c>
      <c r="B32" s="25" t="inlineStr">
        <is>
          <t>Dispatcher</t>
        </is>
      </c>
      <c r="C32" s="25" t="inlineStr">
        <is>
          <t>Inquiries and quotations</t>
        </is>
      </c>
      <c r="D32" s="26" t="inlineStr">
        <is>
          <t>Wrong</t>
        </is>
      </c>
      <c r="E32" s="25" t="inlineStr">
        <is>
          <t>Convert before the customer approved</t>
        </is>
      </c>
      <c r="F32" s="25" t="inlineStr">
        <is>
          <t>1. Open QT-2026-0044 (no approval yet). Confirm there is no convert button.
2. Change the address to #/jobs/new/QT-2026-0044.</t>
        </is>
      </c>
      <c r="G32" s="25" t="inlineStr">
        <is>
          <t>Only the approval button exists. The direct address shows "Customer approval needed first" and no job is created.</t>
        </is>
      </c>
      <c r="H32" s="27" t="inlineStr">
        <is>
          <t>Pass</t>
        </is>
      </c>
      <c r="I32" s="28" t="inlineStr">
        <is>
          <t>Claude (automated, Playwright)</t>
        </is>
      </c>
      <c r="J32" s="29" t="n">
        <v>46294</v>
      </c>
      <c r="K32" s="27" t="n"/>
      <c r="L32" s="28" t="inlineStr">
        <is>
          <t>Automated pass, 5 checks.</t>
        </is>
      </c>
    </row>
    <row r="33" ht="30" customHeight="1">
      <c r="A33" s="24" t="inlineStr">
        <is>
          <t>DSP-19</t>
        </is>
      </c>
      <c r="B33" s="25" t="inlineStr">
        <is>
          <t>Dispatcher</t>
        </is>
      </c>
      <c r="C33" s="25" t="inlineStr">
        <is>
          <t>Inquiries and quotations</t>
        </is>
      </c>
      <c r="D33" s="26" t="inlineStr">
        <is>
          <t>Wrong</t>
        </is>
      </c>
      <c r="E33" s="25" t="inlineStr">
        <is>
          <t>Convert the same quotation twice</t>
        </is>
      </c>
      <c r="F33" s="25" t="inlineStr">
        <is>
          <t>After DSP-17, open QT-2026-0042 again.</t>
        </is>
      </c>
      <c r="G33" s="25" t="inlineStr">
        <is>
          <t>The convert button is gone. In its place: Converted to SJ-2026-00123. Only one job exists for that quotation.</t>
        </is>
      </c>
      <c r="H33" s="27" t="inlineStr">
        <is>
          <t>Pass</t>
        </is>
      </c>
      <c r="I33" s="28" t="inlineStr">
        <is>
          <t>Claude (automated, Playwright)</t>
        </is>
      </c>
      <c r="J33" s="29" t="n">
        <v>46294</v>
      </c>
      <c r="K33" s="27" t="n"/>
      <c r="L33" s="28" t="inlineStr">
        <is>
          <t>Automated pass, 3 checks.</t>
        </is>
      </c>
    </row>
    <row r="34" ht="30" customHeight="1">
      <c r="A34" s="24" t="inlineStr">
        <is>
          <t>DSP-20</t>
        </is>
      </c>
      <c r="B34" s="25" t="inlineStr">
        <is>
          <t>Dispatcher</t>
        </is>
      </c>
      <c r="C34" s="25" t="inlineStr">
        <is>
          <t>Inquiries and quotations</t>
        </is>
      </c>
      <c r="D34" s="26" t="inlineStr">
        <is>
          <t>Wrong</t>
        </is>
      </c>
      <c r="E34" s="25" t="inlineStr">
        <is>
          <t>Declined inquiry has no route forward</t>
        </is>
      </c>
      <c r="F34" s="25" t="inlineStr">
        <is>
          <t>Open INQ-2026-0044.</t>
        </is>
      </c>
      <c r="G34" s="25" t="inlineStr">
        <is>
          <t>Red box "Inquiry declined. No quotation will be created." and no Create quotation button.</t>
        </is>
      </c>
      <c r="H34" s="27" t="inlineStr">
        <is>
          <t>Pass</t>
        </is>
      </c>
      <c r="I34" s="28" t="inlineStr">
        <is>
          <t>Claude (automated, Playwright)</t>
        </is>
      </c>
      <c r="J34" s="29" t="n">
        <v>46294</v>
      </c>
      <c r="K34" s="27" t="n"/>
      <c r="L34" s="28" t="inlineStr">
        <is>
          <t>Automated pass, 3 checks.</t>
        </is>
      </c>
    </row>
    <row r="35" ht="69" customHeight="1">
      <c r="A35" s="24" t="inlineStr">
        <is>
          <t>DSP-21</t>
        </is>
      </c>
      <c r="B35" s="25" t="inlineStr">
        <is>
          <t>Dispatcher</t>
        </is>
      </c>
      <c r="C35" s="25" t="inlineStr">
        <is>
          <t>Shipment jobs, status and customs</t>
        </is>
      </c>
      <c r="D35" s="26" t="inlineStr">
        <is>
          <t>Happy</t>
        </is>
      </c>
      <c r="E35" s="25" t="inlineStr">
        <is>
          <t>Find jobs with search, filter and density</t>
        </is>
      </c>
      <c r="F35" s="25" t="inlineStr">
        <is>
          <t>1. Shipment Jobs. 2. Search blue. 3. Clear it, filter status Customs Clearance. 4. Switch density Compact, Comfortable.</t>
        </is>
      </c>
      <c r="G35" s="25" t="inlineStr">
        <is>
          <t>Search shows BlueWave jobs (SJ-2026-00082 and 00050). The status filter shows SJ-2026-00130 and SJ-2026-00120 (SJ-2026-00065 is on exception hold, so it is listed under Exception Hold instead). Density changes row height only. All 12 jobs are visible to a Dispatcher.</t>
        </is>
      </c>
      <c r="H35" s="27" t="inlineStr">
        <is>
          <t>Pass</t>
        </is>
      </c>
      <c r="I35" s="28" t="inlineStr">
        <is>
          <t>Claude (automated, Playwright)</t>
        </is>
      </c>
      <c r="J35" s="29" t="n">
        <v>46294</v>
      </c>
      <c r="K35" s="27" t="n"/>
      <c r="L35" s="28" t="inlineStr">
        <is>
          <t>Automated pass, 5 checks. Note: 13 jobs listed rather than the 12 stated: DSP-17 already created SJ-2026-00123 earlier in the same section</t>
        </is>
      </c>
    </row>
    <row r="36" ht="69" customHeight="1">
      <c r="A36" s="24" t="inlineStr">
        <is>
          <t>DSP-22</t>
        </is>
      </c>
      <c r="B36" s="25" t="inlineStr">
        <is>
          <t>Dispatcher</t>
        </is>
      </c>
      <c r="C36" s="25" t="inlineStr">
        <is>
          <t>Shipment jobs, status and customs</t>
        </is>
      </c>
      <c r="D36" s="26" t="inlineStr">
        <is>
          <t>Happy</t>
        </is>
      </c>
      <c r="E36" s="25" t="inlineStr">
        <is>
          <t>Flags tell the story at a glance</t>
        </is>
      </c>
      <c r="F36" s="25" t="inlineStr">
        <is>
          <t>Read the Flags column.</t>
        </is>
      </c>
      <c r="G36" s="25" t="inlineStr">
        <is>
          <t>SJ-2026-00082: Overdue task, High priority, "Free storage expired 2d ago". SJ-2026-00130: Under Inspection, Urgent priority. SJ-2026-00065: Exception, High priority, "Free storage: 1d left". SJ-2026-00120: "Free storage: 2d left". SJ-2026-00110: Missing doc. No "Short on funds" flag for a Dispatcher.</t>
        </is>
      </c>
      <c r="H36" s="27" t="inlineStr">
        <is>
          <t>Pass</t>
        </is>
      </c>
      <c r="I36" s="28" t="inlineStr">
        <is>
          <t>Claude (automated, Playwright)</t>
        </is>
      </c>
      <c r="J36" s="29" t="n">
        <v>46294</v>
      </c>
      <c r="K36" s="27" t="n"/>
      <c r="L36" s="28" t="inlineStr">
        <is>
          <t>Automated pass, 11 checks.</t>
        </is>
      </c>
    </row>
    <row r="37" ht="56" customHeight="1">
      <c r="A37" s="24" t="inlineStr">
        <is>
          <t>DSP-23</t>
        </is>
      </c>
      <c r="B37" s="25" t="inlineStr">
        <is>
          <t>Dispatcher</t>
        </is>
      </c>
      <c r="C37" s="25" t="inlineStr">
        <is>
          <t>Shipment jobs, status and customs</t>
        </is>
      </c>
      <c r="D37" s="26" t="inlineStr">
        <is>
          <t>Happy</t>
        </is>
      </c>
      <c r="E37" s="25" t="inlineStr">
        <is>
          <t>Job detail overview</t>
        </is>
      </c>
      <c r="F37" s="25" t="inlineStr">
        <is>
          <t>Open SJ-2026-00082.</t>
        </is>
      </c>
      <c r="G37" s="25" t="inlineStr">
        <is>
          <t>Journey bar 38% (stage 4 of 9). Milestone track at "Arrived at Port". Status history is dated and newest first. Job details: container, BL, consignee, ownership, shipping line, vessel, declared value. The Tasks tab carries a red ! marker.</t>
        </is>
      </c>
      <c r="H37" s="27" t="inlineStr">
        <is>
          <t>Pass</t>
        </is>
      </c>
      <c r="I37" s="28" t="inlineStr">
        <is>
          <t>Claude (automated, Playwright)</t>
        </is>
      </c>
      <c r="J37" s="29" t="n">
        <v>46294</v>
      </c>
      <c r="K37" s="27" t="n"/>
      <c r="L37" s="28" t="inlineStr">
        <is>
          <t>Automated pass, 14 checks.</t>
        </is>
      </c>
    </row>
    <row r="38" ht="56" customHeight="1">
      <c r="A38" s="24" t="inlineStr">
        <is>
          <t>DSP-24</t>
        </is>
      </c>
      <c r="B38" s="25" t="inlineStr">
        <is>
          <t>Dispatcher</t>
        </is>
      </c>
      <c r="C38" s="25" t="inlineStr">
        <is>
          <t>Shipment jobs, status and customs</t>
        </is>
      </c>
      <c r="D38" s="26" t="inlineStr">
        <is>
          <t>Happy</t>
        </is>
      </c>
      <c r="E38" s="25" t="inlineStr">
        <is>
          <t>Move a job to the next stage</t>
        </is>
      </c>
      <c r="F38" s="25" t="inlineStr">
        <is>
          <t>1. Open SJ-2026-00088 (Sailed).
2. Update status.
3. Read the list, then Confirm: move to Arrived at Port.</t>
        </is>
      </c>
      <c r="G38" s="25" t="inlineStr">
        <is>
          <t>The list allows only the next stage; earlier stages say "already completed" and later ones "locked until ... is done". Message "SJ-2026-00088 moved to Arrived at Port." History gains "Status changed: Moved to Arrived at Port" by Ana Cruz.</t>
        </is>
      </c>
      <c r="H38" s="27" t="inlineStr">
        <is>
          <t>Pass</t>
        </is>
      </c>
      <c r="I38" s="28" t="inlineStr">
        <is>
          <t>Claude (automated, Playwright)</t>
        </is>
      </c>
      <c r="J38" s="29" t="n">
        <v>46294</v>
      </c>
      <c r="K38" s="27" t="n"/>
      <c r="L38" s="28" t="inlineStr">
        <is>
          <t>Automated pass, 7 checks.</t>
        </is>
      </c>
    </row>
    <row r="39" ht="30" customHeight="1">
      <c r="A39" s="24" t="inlineStr">
        <is>
          <t>DSP-25</t>
        </is>
      </c>
      <c r="B39" s="25" t="inlineStr">
        <is>
          <t>Dispatcher</t>
        </is>
      </c>
      <c r="C39" s="25" t="inlineStr">
        <is>
          <t>Shipment jobs, status and customs</t>
        </is>
      </c>
      <c r="D39" s="26" t="inlineStr">
        <is>
          <t>Wrong</t>
        </is>
      </c>
      <c r="E39" s="25" t="inlineStr">
        <is>
          <t>Cannot skip stages</t>
        </is>
      </c>
      <c r="F39" s="25" t="inlineStr">
        <is>
          <t>On SJ-2026-00110 (Booked) open Update status and try to pick Sailed or Delivered.</t>
        </is>
      </c>
      <c r="G39" s="25" t="inlineStr">
        <is>
          <t>Those options are disabled ("locked until the previous stage is done"). Only Documentation can be selected.</t>
        </is>
      </c>
      <c r="H39" s="27" t="inlineStr">
        <is>
          <t>Pass</t>
        </is>
      </c>
      <c r="I39" s="28" t="inlineStr">
        <is>
          <t>Claude (automated, Playwright)</t>
        </is>
      </c>
      <c r="J39" s="29" t="n">
        <v>46294</v>
      </c>
      <c r="K39" s="27" t="n"/>
      <c r="L39" s="28" t="inlineStr">
        <is>
          <t>Automated pass, 4 checks.</t>
        </is>
      </c>
    </row>
    <row r="40" ht="69" customHeight="1">
      <c r="A40" s="24" t="inlineStr">
        <is>
          <t>DSP-26</t>
        </is>
      </c>
      <c r="B40" s="25" t="inlineStr">
        <is>
          <t>Dispatcher</t>
        </is>
      </c>
      <c r="C40" s="25" t="inlineStr">
        <is>
          <t>Shipment jobs, status and customs</t>
        </is>
      </c>
      <c r="D40" s="26" t="inlineStr">
        <is>
          <t>Wrong</t>
        </is>
      </c>
      <c r="E40" s="25" t="inlineStr">
        <is>
          <t>Delivered and Billing Ready cannot be picked from the list</t>
        </is>
      </c>
      <c r="F40" s="25" t="inlineStr">
        <is>
          <t>1. On SJ-2026-00077 (Out for Delivery) open Update status.
2. Repeat on SJ-2026-00070 (Delivered).</t>
        </is>
      </c>
      <c r="G40" s="25" t="inlineStr">
        <is>
          <t>Warning "Delivered can't be picked here: confirm the delivery with proof of delivery on the Delivery tab", then "Billing Ready can't be picked here: set by a Manager or Admin once the billing checklist passes". The confirm button is greyed out. No Go-to button appears for the Dispatcher (no access to those tabs).</t>
        </is>
      </c>
      <c r="H40" s="27" t="inlineStr">
        <is>
          <t>Pass</t>
        </is>
      </c>
      <c r="I40" s="28" t="inlineStr">
        <is>
          <t>Claude (automated, Playwright)</t>
        </is>
      </c>
      <c r="J40" s="29" t="n">
        <v>46294</v>
      </c>
      <c r="K40" s="27" t="n"/>
      <c r="L40" s="28" t="inlineStr">
        <is>
          <t>Automated pass, 8 checks. Note: Wording: plan says "confirm the delivery with proof of delivery on the Delivery tab"; screen says "Delivered is set by confirming the delivery with proof of delivery on the Delivery tab." (same meaning)</t>
        </is>
      </c>
    </row>
    <row r="41" ht="30" customHeight="1">
      <c r="A41" s="24" t="inlineStr">
        <is>
          <t>DSP-27</t>
        </is>
      </c>
      <c r="B41" s="25" t="inlineStr">
        <is>
          <t>Dispatcher</t>
        </is>
      </c>
      <c r="C41" s="25" t="inlineStr">
        <is>
          <t>Shipment jobs, status and customs</t>
        </is>
      </c>
      <c r="D41" s="26" t="inlineStr">
        <is>
          <t>Wrong</t>
        </is>
      </c>
      <c r="E41" s="25" t="inlineStr">
        <is>
          <t>Customs must finish before the job leaves customs</t>
        </is>
      </c>
      <c r="F41" s="25" t="inlineStr">
        <is>
          <t>On SJ-2026-00120 (Customs Clearance) open Update status.</t>
        </is>
      </c>
      <c r="G41" s="25" t="inlineStr">
        <is>
          <t>Warning "Customs clearance in progress": advance the sub-stage first. Confirm is disabled.</t>
        </is>
      </c>
      <c r="H41" s="27" t="inlineStr">
        <is>
          <t>Pass</t>
        </is>
      </c>
      <c r="I41" s="28" t="inlineStr">
        <is>
          <t>Claude (automated, Playwright)</t>
        </is>
      </c>
      <c r="J41" s="29" t="n">
        <v>46294</v>
      </c>
      <c r="K41" s="27" t="n"/>
      <c r="L41" s="28" t="inlineStr">
        <is>
          <t>Automated pass, 2 checks.</t>
        </is>
      </c>
    </row>
    <row r="42" ht="43" customHeight="1">
      <c r="A42" s="24" t="inlineStr">
        <is>
          <t>DSP-28</t>
        </is>
      </c>
      <c r="B42" s="25" t="inlineStr">
        <is>
          <t>Dispatcher</t>
        </is>
      </c>
      <c r="C42" s="25" t="inlineStr">
        <is>
          <t>Shipment jobs, status and customs</t>
        </is>
      </c>
      <c r="D42" s="26" t="inlineStr">
        <is>
          <t>Happy</t>
        </is>
      </c>
      <c r="E42" s="25" t="inlineStr">
        <is>
          <t>Advance the customs sub-stage</t>
        </is>
      </c>
      <c r="F42" s="25" t="inlineStr">
        <is>
          <t>1. On SJ-2026-00120 click Advance customs stage in the Customs Clearance panel.
2. Confirm move to Payment Completed.</t>
        </is>
      </c>
      <c r="G42" s="25" t="inlineStr">
        <is>
          <t>Message "Customs stage advanced to Payment Completed." The panel's track moves on. History gains "Customs stage advanced".</t>
        </is>
      </c>
      <c r="H42" s="27" t="inlineStr">
        <is>
          <t>Pass</t>
        </is>
      </c>
      <c r="I42" s="28" t="inlineStr">
        <is>
          <t>Claude (automated, Playwright)</t>
        </is>
      </c>
      <c r="J42" s="29" t="n">
        <v>46294</v>
      </c>
      <c r="K42" s="27" t="n"/>
      <c r="L42" s="28" t="inlineStr">
        <is>
          <t>Automated pass, 3 checks.</t>
        </is>
      </c>
    </row>
    <row r="43" ht="56" customHeight="1">
      <c r="A43" s="24" t="inlineStr">
        <is>
          <t>DSP-29</t>
        </is>
      </c>
      <c r="B43" s="25" t="inlineStr">
        <is>
          <t>Dispatcher</t>
        </is>
      </c>
      <c r="C43" s="25" t="inlineStr">
        <is>
          <t>Shipment jobs, status and customs</t>
        </is>
      </c>
      <c r="D43" s="26" t="inlineStr">
        <is>
          <t>Edge</t>
        </is>
      </c>
      <c r="E43" s="25" t="inlineStr">
        <is>
          <t>Advance to the very last customs stage</t>
        </is>
      </c>
      <c r="F43" s="25" t="inlineStr">
        <is>
          <t>After DSP-28 on SJ-2026-00120, click Advance customs stage twice more (Release Pending, then Released), then click it once more.</t>
        </is>
      </c>
      <c r="G43" s="25" t="inlineStr">
        <is>
          <t>The last click opens a panel saying "This job has already reached the final customs sub-stage (Released)." Afterwards Update status offers Out for Delivery as the next stage (customs is finished).</t>
        </is>
      </c>
      <c r="H43" s="27" t="inlineStr">
        <is>
          <t>Pass</t>
        </is>
      </c>
      <c r="I43" s="28" t="inlineStr">
        <is>
          <t>Claude (automated, Playwright)</t>
        </is>
      </c>
      <c r="J43" s="29" t="n">
        <v>46294</v>
      </c>
      <c r="K43" s="27" t="n"/>
      <c r="L43" s="28" t="inlineStr">
        <is>
          <t>Automated pass, 3 checks.</t>
        </is>
      </c>
    </row>
    <row r="44" ht="56" customHeight="1">
      <c r="A44" s="24" t="inlineStr">
        <is>
          <t>DSP-30</t>
        </is>
      </c>
      <c r="B44" s="25" t="inlineStr">
        <is>
          <t>Dispatcher</t>
        </is>
      </c>
      <c r="C44" s="25" t="inlineStr">
        <is>
          <t>Shipment jobs, status and customs</t>
        </is>
      </c>
      <c r="D44" s="26" t="inlineStr">
        <is>
          <t>Wrong</t>
        </is>
      </c>
      <c r="E44" s="25" t="inlineStr">
        <is>
          <t>A customs hold blocks progress and a Dispatcher cannot clear it</t>
        </is>
      </c>
      <c r="F44" s="25" t="inlineStr">
        <is>
          <t>1. Open SJ-2026-00130 (Under Inspection).
2. Read the Customs panel.
3. Click Advance customs stage.</t>
        </is>
      </c>
      <c r="G44" s="25" t="inlineStr">
        <is>
          <t>A red box shows "Under Inspection" and the BOC note. No lane selector, no "Clear hold" and no "Place on hold" button for a Dispatcher. Advancing says "Clear the hold in the Customs Clearance panel before advancing further."</t>
        </is>
      </c>
      <c r="H44" s="27" t="inlineStr">
        <is>
          <t>Pass</t>
        </is>
      </c>
      <c r="I44" s="28" t="inlineStr">
        <is>
          <t>Claude (automated, Playwright)</t>
        </is>
      </c>
      <c r="J44" s="29" t="n">
        <v>46294</v>
      </c>
      <c r="K44" s="27" t="n"/>
      <c r="L44" s="28" t="inlineStr">
        <is>
          <t>Automated pass, 6 checks.</t>
        </is>
      </c>
    </row>
    <row r="45" ht="30" customHeight="1">
      <c r="A45" s="24" t="inlineStr">
        <is>
          <t>DSP-31</t>
        </is>
      </c>
      <c r="B45" s="25" t="inlineStr">
        <is>
          <t>Dispatcher</t>
        </is>
      </c>
      <c r="C45" s="25" t="inlineStr">
        <is>
          <t>Shipment jobs, status and customs</t>
        </is>
      </c>
      <c r="D45" s="26" t="inlineStr">
        <is>
          <t>Access</t>
        </is>
      </c>
      <c r="E45" s="25" t="inlineStr">
        <is>
          <t>No override for a Dispatcher</t>
        </is>
      </c>
      <c r="F45" s="25" t="inlineStr">
        <is>
          <t>Open Update status on any job.</t>
        </is>
      </c>
      <c r="G45" s="25" t="inlineStr">
        <is>
          <t>There is no "Admin/Manager override" section.</t>
        </is>
      </c>
      <c r="H45" s="27" t="inlineStr">
        <is>
          <t>Pass</t>
        </is>
      </c>
      <c r="I45" s="28" t="inlineStr">
        <is>
          <t>Claude (automated, Playwright)</t>
        </is>
      </c>
      <c r="J45" s="29" t="n">
        <v>46294</v>
      </c>
      <c r="K45" s="27" t="n"/>
      <c r="L45" s="28" t="inlineStr">
        <is>
          <t>Automated pass, 3 checks.</t>
        </is>
      </c>
    </row>
    <row r="46" ht="69" customHeight="1">
      <c r="A46" s="24" t="inlineStr">
        <is>
          <t>DSP-32</t>
        </is>
      </c>
      <c r="B46" s="25" t="inlineStr">
        <is>
          <t>Dispatcher</t>
        </is>
      </c>
      <c r="C46" s="25" t="inlineStr">
        <is>
          <t>Shipment jobs, status and customs</t>
        </is>
      </c>
      <c r="D46" s="26" t="inlineStr">
        <is>
          <t>Access</t>
        </is>
      </c>
      <c r="E46" s="25" t="inlineStr">
        <is>
          <t>Charges and delivery are not available</t>
        </is>
      </c>
      <c r="F46" s="25" t="inlineStr">
        <is>
          <t>1. Open any job and read the tabs.
2. Go to #/jobs/SJ-2026-00120/charges.
3. Go to #/jobs/SJ-2026-00060/billing-summary.</t>
        </is>
      </c>
      <c r="G46" s="25" t="inlineStr">
        <is>
          <t>Tabs: Overview, Tasks, Documents, Exceptions only. The charges address just shows the Overview. Billing summary says "Not available for Dispatcher". No charges, funds, margin or "Short on funds" chip anywhere on the job (the job's own declared value is still shown in Job details).</t>
        </is>
      </c>
      <c r="H46" s="27" t="inlineStr">
        <is>
          <t>Pass</t>
        </is>
      </c>
      <c r="I46" s="28" t="inlineStr">
        <is>
          <t>Claude (automated, Playwright)</t>
        </is>
      </c>
      <c r="J46" s="29" t="n">
        <v>46294</v>
      </c>
      <c r="K46" s="27" t="n"/>
      <c r="L46" s="28" t="inlineStr">
        <is>
          <t>Automated pass, 7 checks. Note: Observation (cosmetic): on #/jobs/&lt;id&gt;/charges the Overview content shows but none of the tabs is highlighted as selected</t>
        </is>
      </c>
    </row>
    <row r="47" ht="30" customHeight="1">
      <c r="A47" s="24" t="inlineStr">
        <is>
          <t>DSP-33</t>
        </is>
      </c>
      <c r="B47" s="25" t="inlineStr">
        <is>
          <t>Dispatcher</t>
        </is>
      </c>
      <c r="C47" s="25" t="inlineStr">
        <is>
          <t>Shipment jobs, status and customs</t>
        </is>
      </c>
      <c r="D47" s="26" t="inlineStr">
        <is>
          <t>Access</t>
        </is>
      </c>
      <c r="E47" s="25" t="inlineStr">
        <is>
          <t>Money entries stay out of the job history</t>
        </is>
      </c>
      <c r="F47" s="25" t="inlineStr">
        <is>
          <t>Open SJ-2026-00060 and read Status history.</t>
        </is>
      </c>
      <c r="G47" s="25" t="inlineStr">
        <is>
          <t>You see created and stage-change entries only. No "Funds received" entries.</t>
        </is>
      </c>
      <c r="H47" s="27" t="inlineStr">
        <is>
          <t>Pass</t>
        </is>
      </c>
      <c r="I47" s="28" t="inlineStr">
        <is>
          <t>Claude (automated, Playwright)</t>
        </is>
      </c>
      <c r="J47" s="29" t="n">
        <v>46294</v>
      </c>
      <c r="K47" s="27" t="n"/>
      <c r="L47" s="28" t="inlineStr">
        <is>
          <t>Automated pass, 2 checks.</t>
        </is>
      </c>
    </row>
    <row r="48" ht="43" customHeight="1">
      <c r="A48" s="24" t="inlineStr">
        <is>
          <t>DSP-34</t>
        </is>
      </c>
      <c r="B48" s="25" t="inlineStr">
        <is>
          <t>Dispatcher</t>
        </is>
      </c>
      <c r="C48" s="25" t="inlineStr">
        <is>
          <t>Tasks</t>
        </is>
      </c>
      <c r="D48" s="26" t="inlineStr">
        <is>
          <t>Happy</t>
        </is>
      </c>
      <c r="E48" s="25" t="inlineStr">
        <is>
          <t>Complete a task that needs proof</t>
        </is>
      </c>
      <c r="F48" s="25" t="inlineStr">
        <is>
          <t>1. Open SJ-2026-00088, Tasks tab.
2. Complete on "Lodge customs entry" (tagged evidence required).
3. Attach a file, add note Filed with BOC, click Mark complete.</t>
        </is>
      </c>
      <c r="G48" s="25" t="inlineStr">
        <is>
          <t>Message "Lodge customs entry marked complete." Status Completed, the row now shows View evidence. History gains "Task completed".</t>
        </is>
      </c>
      <c r="H48" s="27" t="inlineStr">
        <is>
          <t>Pass</t>
        </is>
      </c>
      <c r="I48" s="28" t="inlineStr">
        <is>
          <t>Claude (automated, Playwright)</t>
        </is>
      </c>
      <c r="J48" s="29" t="n">
        <v>46294</v>
      </c>
      <c r="K48" s="27" t="n"/>
      <c r="L48" s="28" t="inlineStr">
        <is>
          <t>Automated pass, 4 checks.</t>
        </is>
      </c>
    </row>
    <row r="49" ht="30" customHeight="1">
      <c r="A49" s="24" t="inlineStr">
        <is>
          <t>DSP-35</t>
        </is>
      </c>
      <c r="B49" s="25" t="inlineStr">
        <is>
          <t>Dispatcher</t>
        </is>
      </c>
      <c r="C49" s="25" t="inlineStr">
        <is>
          <t>Tasks</t>
        </is>
      </c>
      <c r="D49" s="26" t="inlineStr">
        <is>
          <t>Wrong</t>
        </is>
      </c>
      <c r="E49" s="25" t="inlineStr">
        <is>
          <t>Complete an evidence task with no file</t>
        </is>
      </c>
      <c r="F49" s="25" t="inlineStr">
        <is>
          <t>Same task on another job (for example SJ-2026-00130 "Pay duties and assessment"), click Mark complete with no file.</t>
        </is>
      </c>
      <c r="G49" s="25" t="inlineStr">
        <is>
          <t>Message "Attach the completion evidence first. This task requires it." The task stays Pending.</t>
        </is>
      </c>
      <c r="H49" s="27" t="inlineStr">
        <is>
          <t>Pass</t>
        </is>
      </c>
      <c r="I49" s="28" t="inlineStr">
        <is>
          <t>Claude (automated, Playwright)</t>
        </is>
      </c>
      <c r="J49" s="29" t="n">
        <v>46294</v>
      </c>
      <c r="K49" s="27" t="n"/>
      <c r="L49" s="28" t="inlineStr">
        <is>
          <t>Automated pass, 2 checks.</t>
        </is>
      </c>
    </row>
    <row r="50" ht="30" customHeight="1">
      <c r="A50" s="24" t="inlineStr">
        <is>
          <t>DSP-36</t>
        </is>
      </c>
      <c r="B50" s="25" t="inlineStr">
        <is>
          <t>Dispatcher</t>
        </is>
      </c>
      <c r="C50" s="25" t="inlineStr">
        <is>
          <t>Tasks</t>
        </is>
      </c>
      <c r="D50" s="26" t="inlineStr">
        <is>
          <t>Happy</t>
        </is>
      </c>
      <c r="E50" s="25" t="inlineStr">
        <is>
          <t>Complete a task that needs no proof</t>
        </is>
      </c>
      <c r="F50" s="25" t="inlineStr">
        <is>
          <t>On SJ-2026-00088 complete "Secure delivery order" with no file and no note.</t>
        </is>
      </c>
      <c r="G50" s="25" t="inlineStr">
        <is>
          <t>It completes. The row shows "No evidence required".</t>
        </is>
      </c>
      <c r="H50" s="27" t="inlineStr">
        <is>
          <t>Pass</t>
        </is>
      </c>
      <c r="I50" s="28" t="inlineStr">
        <is>
          <t>Claude (automated, Playwright)</t>
        </is>
      </c>
      <c r="J50" s="29" t="n">
        <v>46294</v>
      </c>
      <c r="K50" s="27" t="n"/>
      <c r="L50" s="28" t="inlineStr">
        <is>
          <t>Automated pass, 1 checks.</t>
        </is>
      </c>
    </row>
    <row r="51" ht="43" customHeight="1">
      <c r="A51" s="24" t="inlineStr">
        <is>
          <t>DSP-37</t>
        </is>
      </c>
      <c r="B51" s="25" t="inlineStr">
        <is>
          <t>Dispatcher</t>
        </is>
      </c>
      <c r="C51" s="25" t="inlineStr">
        <is>
          <t>Tasks</t>
        </is>
      </c>
      <c r="D51" s="26" t="inlineStr">
        <is>
          <t>Happy</t>
        </is>
      </c>
      <c r="E51" s="25" t="inlineStr">
        <is>
          <t>Read the proof afterwards</t>
        </is>
      </c>
      <c r="F51" s="25" t="inlineStr">
        <is>
          <t>Click View evidence on the task from DSP-34.</t>
        </is>
      </c>
      <c r="G51" s="25" t="inlineStr">
        <is>
          <t>A "Task evidence" panel shows the task name, Completed by Ana Cruz, completed date, the attached file name, and the note "Filed with BOC".</t>
        </is>
      </c>
      <c r="H51" s="27" t="inlineStr">
        <is>
          <t>Pass</t>
        </is>
      </c>
      <c r="I51" s="28" t="inlineStr">
        <is>
          <t>Claude (automated, Playwright)</t>
        </is>
      </c>
      <c r="J51" s="29" t="n">
        <v>46294</v>
      </c>
      <c r="K51" s="27" t="n"/>
      <c r="L51" s="28" t="inlineStr">
        <is>
          <t>Automated pass, 6 checks.</t>
        </is>
      </c>
    </row>
    <row r="52" ht="30" customHeight="1">
      <c r="A52" s="24" t="inlineStr">
        <is>
          <t>DSP-38</t>
        </is>
      </c>
      <c r="B52" s="25" t="inlineStr">
        <is>
          <t>Dispatcher</t>
        </is>
      </c>
      <c r="C52" s="25" t="inlineStr">
        <is>
          <t>Tasks</t>
        </is>
      </c>
      <c r="D52" s="26" t="inlineStr">
        <is>
          <t>Happy</t>
        </is>
      </c>
      <c r="E52" s="25" t="inlineStr">
        <is>
          <t>Reassign a task</t>
        </is>
      </c>
      <c r="F52" s="25" t="inlineStr">
        <is>
          <t>1. On SJ-2026-00088 click Reassign on "Book delivery truck".
2. Owner Cathy Lim, due 10 Oct 2026, Save.</t>
        </is>
      </c>
      <c r="G52" s="25" t="inlineStr">
        <is>
          <t>Message "Reassigned to Cathy Lim." The row shows the new owner and date. History gains "Task reassigned".</t>
        </is>
      </c>
      <c r="H52" s="27" t="inlineStr">
        <is>
          <t>Pass</t>
        </is>
      </c>
      <c r="I52" s="28" t="inlineStr">
        <is>
          <t>Claude (automated, Playwright)</t>
        </is>
      </c>
      <c r="J52" s="29" t="n">
        <v>46294</v>
      </c>
      <c r="K52" s="27" t="n"/>
      <c r="L52" s="28" t="inlineStr">
        <is>
          <t>Automated pass, 3 checks.</t>
        </is>
      </c>
    </row>
    <row r="53" ht="18" customHeight="1">
      <c r="A53" s="24" t="inlineStr">
        <is>
          <t>DSP-39</t>
        </is>
      </c>
      <c r="B53" s="25" t="inlineStr">
        <is>
          <t>Dispatcher</t>
        </is>
      </c>
      <c r="C53" s="25" t="inlineStr">
        <is>
          <t>Tasks</t>
        </is>
      </c>
      <c r="D53" s="26" t="inlineStr">
        <is>
          <t>Wrong</t>
        </is>
      </c>
      <c r="E53" s="25" t="inlineStr">
        <is>
          <t>Reassign with a bad date</t>
        </is>
      </c>
      <c r="F53" s="25" t="inlineStr">
        <is>
          <t>In the Reassign panel type soon as the due date, click Save.</t>
        </is>
      </c>
      <c r="G53" s="25" t="inlineStr">
        <is>
          <t>Message "Enter the due date like 05 Oct 2026." Nothing changes.</t>
        </is>
      </c>
      <c r="H53" s="27" t="inlineStr">
        <is>
          <t>Pass</t>
        </is>
      </c>
      <c r="I53" s="28" t="inlineStr">
        <is>
          <t>Claude (automated, Playwright)</t>
        </is>
      </c>
      <c r="J53" s="29" t="n">
        <v>46294</v>
      </c>
      <c r="K53" s="27" t="n"/>
      <c r="L53" s="28" t="inlineStr">
        <is>
          <t>Automated pass, 2 checks.</t>
        </is>
      </c>
    </row>
    <row r="54" ht="43" customHeight="1">
      <c r="A54" s="24" t="inlineStr">
        <is>
          <t>DSP-40</t>
        </is>
      </c>
      <c r="B54" s="25" t="inlineStr">
        <is>
          <t>Dispatcher</t>
        </is>
      </c>
      <c r="C54" s="25" t="inlineStr">
        <is>
          <t>Documents and exceptions</t>
        </is>
      </c>
      <c r="D54" s="26" t="inlineStr">
        <is>
          <t>Happy</t>
        </is>
      </c>
      <c r="E54" s="25" t="inlineStr">
        <is>
          <t>Approve a document</t>
        </is>
      </c>
      <c r="F54" s="25" t="inlineStr">
        <is>
          <t>1. Open SJ-2026-00095, Documents tab.
2. Review on Bill of Lading (Pending Review).
3. Approve.</t>
        </is>
      </c>
      <c r="G54" s="25" t="inlineStr">
        <is>
          <t>Message "Bill of Lading approved." Status Approved; the button becomes View.</t>
        </is>
      </c>
      <c r="H54" s="27" t="inlineStr">
        <is>
          <t>Pass</t>
        </is>
      </c>
      <c r="I54" s="28" t="inlineStr">
        <is>
          <t>Claude (automated, Playwright)</t>
        </is>
      </c>
      <c r="J54" s="29" t="n">
        <v>46294</v>
      </c>
      <c r="K54" s="27" t="n"/>
      <c r="L54" s="28" t="inlineStr">
        <is>
          <t>Automated pass, 3 checks.</t>
        </is>
      </c>
    </row>
    <row r="55" ht="43" customHeight="1">
      <c r="A55" s="24" t="inlineStr">
        <is>
          <t>DSP-41</t>
        </is>
      </c>
      <c r="B55" s="25" t="inlineStr">
        <is>
          <t>Dispatcher</t>
        </is>
      </c>
      <c r="C55" s="25" t="inlineStr">
        <is>
          <t>Documents and exceptions</t>
        </is>
      </c>
      <c r="D55" s="26" t="inlineStr">
        <is>
          <t>Happy</t>
        </is>
      </c>
      <c r="E55" s="25" t="inlineStr">
        <is>
          <t>Upload a missing document</t>
        </is>
      </c>
      <c r="F55" s="25" t="inlineStr">
        <is>
          <t>On SJ-2026-00110 click Upload on Packing List, attach a file, click Upload.</t>
        </is>
      </c>
      <c r="G55" s="25" t="inlineStr">
        <is>
          <t>Message "Packing List uploaded for review." Status Pending Review, version 1. Dashboard "Missing / rejected docs" drops from 5 to 4.</t>
        </is>
      </c>
      <c r="H55" s="27" t="inlineStr">
        <is>
          <t>Pass</t>
        </is>
      </c>
      <c r="I55" s="28" t="inlineStr">
        <is>
          <t>Claude (automated, Playwright)</t>
        </is>
      </c>
      <c r="J55" s="29" t="n">
        <v>46294</v>
      </c>
      <c r="K55" s="27" t="n"/>
      <c r="L55" s="28" t="inlineStr">
        <is>
          <t>Automated pass, 4 checks.</t>
        </is>
      </c>
    </row>
    <row r="56" ht="30" customHeight="1">
      <c r="A56" s="24" t="inlineStr">
        <is>
          <t>DSP-42</t>
        </is>
      </c>
      <c r="B56" s="25" t="inlineStr">
        <is>
          <t>Dispatcher</t>
        </is>
      </c>
      <c r="C56" s="25" t="inlineStr">
        <is>
          <t>Documents and exceptions</t>
        </is>
      </c>
      <c r="D56" s="26" t="inlineStr">
        <is>
          <t>Happy</t>
        </is>
      </c>
      <c r="E56" s="25" t="inlineStr">
        <is>
          <t>Reject with a reason</t>
        </is>
      </c>
      <c r="F56" s="25" t="inlineStr">
        <is>
          <t>On SJ-2026-00110 Review the Packing List, Reject, reason Signature missing, click Reject.</t>
        </is>
      </c>
      <c r="G56" s="25" t="inlineStr">
        <is>
          <t>Message "Packing List rejected." The row reads "v1 — rejected: Signature missing", status Rejected, with a Replace button.</t>
        </is>
      </c>
      <c r="H56" s="27" t="inlineStr">
        <is>
          <t>Pass</t>
        </is>
      </c>
      <c r="I56" s="28" t="inlineStr">
        <is>
          <t>Claude (automated, Playwright)</t>
        </is>
      </c>
      <c r="J56" s="29" t="n">
        <v>46294</v>
      </c>
      <c r="K56" s="27" t="n"/>
      <c r="L56" s="28" t="inlineStr">
        <is>
          <t>Automated pass, 4 checks.</t>
        </is>
      </c>
    </row>
    <row r="57" ht="30" customHeight="1">
      <c r="A57" s="24" t="inlineStr">
        <is>
          <t>DSP-43</t>
        </is>
      </c>
      <c r="B57" s="25" t="inlineStr">
        <is>
          <t>Dispatcher</t>
        </is>
      </c>
      <c r="C57" s="25" t="inlineStr">
        <is>
          <t>Documents and exceptions</t>
        </is>
      </c>
      <c r="D57" s="26" t="inlineStr">
        <is>
          <t>Happy</t>
        </is>
      </c>
      <c r="E57" s="25" t="inlineStr">
        <is>
          <t>Replace a rejected document</t>
        </is>
      </c>
      <c r="F57" s="25" t="inlineStr">
        <is>
          <t>Click Replace on that Packing List, attach a file, Upload.</t>
        </is>
      </c>
      <c r="G57" s="25" t="inlineStr">
        <is>
          <t>Version goes up to v2, status returns to Pending Review, the rejection reason is cleared.</t>
        </is>
      </c>
      <c r="H57" s="27" t="inlineStr">
        <is>
          <t>Pass</t>
        </is>
      </c>
      <c r="I57" s="28" t="inlineStr">
        <is>
          <t>Claude (automated, Playwright)</t>
        </is>
      </c>
      <c r="J57" s="29" t="n">
        <v>46294</v>
      </c>
      <c r="K57" s="27" t="n"/>
      <c r="L57" s="28" t="inlineStr">
        <is>
          <t>Automated pass, 3 checks.</t>
        </is>
      </c>
    </row>
    <row r="58" ht="18" customHeight="1">
      <c r="A58" s="24" t="inlineStr">
        <is>
          <t>DSP-44</t>
        </is>
      </c>
      <c r="B58" s="25" t="inlineStr">
        <is>
          <t>Dispatcher</t>
        </is>
      </c>
      <c r="C58" s="25" t="inlineStr">
        <is>
          <t>Documents and exceptions</t>
        </is>
      </c>
      <c r="D58" s="26" t="inlineStr">
        <is>
          <t>Wrong</t>
        </is>
      </c>
      <c r="E58" s="25" t="inlineStr">
        <is>
          <t>Upload with no file</t>
        </is>
      </c>
      <c r="F58" s="25" t="inlineStr">
        <is>
          <t>Click Upload on a missing document and submit with no file.</t>
        </is>
      </c>
      <c r="G58" s="25" t="inlineStr">
        <is>
          <t>Message "Choose a file to upload first." Status stays Missing.</t>
        </is>
      </c>
      <c r="H58" s="27" t="inlineStr">
        <is>
          <t>Pass</t>
        </is>
      </c>
      <c r="I58" s="28" t="inlineStr">
        <is>
          <t>Claude (automated, Playwright)</t>
        </is>
      </c>
      <c r="J58" s="29" t="n">
        <v>46294</v>
      </c>
      <c r="K58" s="27" t="n"/>
      <c r="L58" s="28" t="inlineStr">
        <is>
          <t>Automated pass, 2 checks.</t>
        </is>
      </c>
    </row>
    <row r="59" ht="30" customHeight="1">
      <c r="A59" s="24" t="inlineStr">
        <is>
          <t>DSP-45</t>
        </is>
      </c>
      <c r="B59" s="25" t="inlineStr">
        <is>
          <t>Dispatcher</t>
        </is>
      </c>
      <c r="C59" s="25" t="inlineStr">
        <is>
          <t>Documents and exceptions</t>
        </is>
      </c>
      <c r="D59" s="26" t="inlineStr">
        <is>
          <t>Wrong</t>
        </is>
      </c>
      <c r="E59" s="25" t="inlineStr">
        <is>
          <t>Reject with no reason</t>
        </is>
      </c>
      <c r="F59" s="25" t="inlineStr">
        <is>
          <t>Review, Reject, leave the reason empty, click Reject.</t>
        </is>
      </c>
      <c r="G59" s="25" t="inlineStr">
        <is>
          <t>Message "Name the problem so the document can be fixed." The document is not rejected.</t>
        </is>
      </c>
      <c r="H59" s="27" t="inlineStr">
        <is>
          <t>Pass</t>
        </is>
      </c>
      <c r="I59" s="28" t="inlineStr">
        <is>
          <t>Claude (automated, Playwright)</t>
        </is>
      </c>
      <c r="J59" s="29" t="n">
        <v>46294</v>
      </c>
      <c r="K59" s="27" t="n"/>
      <c r="L59" s="28" t="inlineStr">
        <is>
          <t>Automated pass, 2 checks.</t>
        </is>
      </c>
    </row>
    <row r="60" ht="43" customHeight="1">
      <c r="A60" s="24" t="inlineStr">
        <is>
          <t>DSP-46</t>
        </is>
      </c>
      <c r="B60" s="25" t="inlineStr">
        <is>
          <t>Dispatcher</t>
        </is>
      </c>
      <c r="C60" s="25" t="inlineStr">
        <is>
          <t>Documents and exceptions</t>
        </is>
      </c>
      <c r="D60" s="26" t="inlineStr">
        <is>
          <t>Edge</t>
        </is>
      </c>
      <c r="E60" s="25" t="inlineStr">
        <is>
          <t>An already-rejected document shows its reason</t>
        </is>
      </c>
      <c r="F60" s="25" t="inlineStr">
        <is>
          <t>Open SJ-2026-00095 Documents.</t>
        </is>
      </c>
      <c r="G60" s="25" t="inlineStr">
        <is>
          <t>Certificate of Origin shows v2 — rejected: Signature block expired — reissue with current authorized signatory. and a Replace button. Import Permit shows Missing and Upload.</t>
        </is>
      </c>
      <c r="H60" s="27" t="inlineStr">
        <is>
          <t>Pass</t>
        </is>
      </c>
      <c r="I60" s="28" t="inlineStr">
        <is>
          <t>Claude (automated, Playwright)</t>
        </is>
      </c>
      <c r="J60" s="29" t="n">
        <v>46294</v>
      </c>
      <c r="K60" s="27" t="n"/>
      <c r="L60" s="28" t="inlineStr">
        <is>
          <t>Automated pass, 3 checks.</t>
        </is>
      </c>
    </row>
    <row r="61" ht="56" customHeight="1">
      <c r="A61" s="24" t="inlineStr">
        <is>
          <t>DSP-47</t>
        </is>
      </c>
      <c r="B61" s="25" t="inlineStr">
        <is>
          <t>Dispatcher</t>
        </is>
      </c>
      <c r="C61" s="25" t="inlineStr">
        <is>
          <t>Documents and exceptions</t>
        </is>
      </c>
      <c r="D61" s="26" t="inlineStr">
        <is>
          <t>Happy</t>
        </is>
      </c>
      <c r="E61" s="25" t="inlineStr">
        <is>
          <t>Raise an exception</t>
        </is>
      </c>
      <c r="F61" s="25" t="inlineStr">
        <is>
          <t>1. On SJ-2026-00088 open Exceptions, Raise exception.
2. Category Documentation Discrepancy, reason Invoice total differs from packing list, leave impact High, Raise exception.</t>
        </is>
      </c>
      <c r="G61" s="25" t="inlineStr">
        <is>
          <t>The Stage defaults to the job's current stage. Message "Exception raised — job on hold." The job status becomes Exception Hold and the exception shows Pending Approval. A Dispatcher sees no Review button.</t>
        </is>
      </c>
      <c r="H61" s="27" t="inlineStr">
        <is>
          <t>Pass</t>
        </is>
      </c>
      <c r="I61" s="28" t="inlineStr">
        <is>
          <t>Claude (automated, Playwright)</t>
        </is>
      </c>
      <c r="J61" s="29" t="n">
        <v>46294</v>
      </c>
      <c r="K61" s="27" t="n"/>
      <c r="L61" s="28" t="inlineStr">
        <is>
          <t>Automated pass, 6 checks.</t>
        </is>
      </c>
    </row>
    <row r="62" ht="30" customHeight="1">
      <c r="A62" s="24" t="inlineStr">
        <is>
          <t>DSP-48</t>
        </is>
      </c>
      <c r="B62" s="25" t="inlineStr">
        <is>
          <t>Dispatcher</t>
        </is>
      </c>
      <c r="C62" s="25" t="inlineStr">
        <is>
          <t>Documents and exceptions</t>
        </is>
      </c>
      <c r="D62" s="26" t="inlineStr">
        <is>
          <t>Wrong</t>
        </is>
      </c>
      <c r="E62" s="25" t="inlineStr">
        <is>
          <t>Raise with no reason</t>
        </is>
      </c>
      <c r="F62" s="25" t="inlineStr">
        <is>
          <t>Open Raise exception, leave the reason empty, submit.</t>
        </is>
      </c>
      <c r="G62" s="25" t="inlineStr">
        <is>
          <t>Message "Describe the reason for the exception." No exception is created.</t>
        </is>
      </c>
      <c r="H62" s="27" t="inlineStr">
        <is>
          <t>Pass</t>
        </is>
      </c>
      <c r="I62" s="28" t="inlineStr">
        <is>
          <t>Claude (automated, Playwright)</t>
        </is>
      </c>
      <c r="J62" s="29" t="n">
        <v>46294</v>
      </c>
      <c r="K62" s="27" t="n"/>
      <c r="L62" s="28" t="inlineStr">
        <is>
          <t>Automated pass, 2 checks.</t>
        </is>
      </c>
    </row>
    <row r="63" ht="30" customHeight="1">
      <c r="A63" s="24" t="inlineStr">
        <is>
          <t>DSP-49</t>
        </is>
      </c>
      <c r="B63" s="25" t="inlineStr">
        <is>
          <t>Dispatcher</t>
        </is>
      </c>
      <c r="C63" s="25" t="inlineStr">
        <is>
          <t>Documents and exceptions</t>
        </is>
      </c>
      <c r="D63" s="26" t="inlineStr">
        <is>
          <t>Wrong</t>
        </is>
      </c>
      <c r="E63" s="25" t="inlineStr">
        <is>
          <t>A held job cannot change status</t>
        </is>
      </c>
      <c r="F63" s="25" t="inlineStr">
        <is>
          <t>On the job from DSP-47 open Update status.</t>
        </is>
      </c>
      <c r="G63" s="25" t="inlineStr">
        <is>
          <t>Red box "This job is on hold": an exception is pending approval at the stated stage. A Go to Exceptions button is offered.</t>
        </is>
      </c>
      <c r="H63" s="27" t="inlineStr">
        <is>
          <t>Pass</t>
        </is>
      </c>
      <c r="I63" s="28" t="inlineStr">
        <is>
          <t>Claude (automated, Playwright)</t>
        </is>
      </c>
      <c r="J63" s="29" t="n">
        <v>46294</v>
      </c>
      <c r="K63" s="27" t="n"/>
      <c r="L63" s="28" t="inlineStr">
        <is>
          <t>Automated pass, 3 checks.</t>
        </is>
      </c>
    </row>
    <row r="64" ht="43" customHeight="1">
      <c r="A64" s="24" t="inlineStr">
        <is>
          <t>DSP-50</t>
        </is>
      </c>
      <c r="B64" s="25" t="inlineStr">
        <is>
          <t>Dispatcher</t>
        </is>
      </c>
      <c r="C64" s="25" t="inlineStr">
        <is>
          <t>Sharing with the customer</t>
        </is>
      </c>
      <c r="D64" s="26" t="inlineStr">
        <is>
          <t>Happy</t>
        </is>
      </c>
      <c r="E64" s="25" t="inlineStr">
        <is>
          <t>Preview what the customer sees</t>
        </is>
      </c>
      <c r="F64" s="25" t="inlineStr">
        <is>
          <t>On SJ-2026-00120 click Client tracking page (job header).</t>
        </is>
      </c>
      <c r="G64" s="25" t="inlineStr">
        <is>
          <t>The public tracking page for that job opens, with the customer-friendly status and no staff bar or back link. Use the browser Back button to return.</t>
        </is>
      </c>
      <c r="H64" s="27" t="inlineStr">
        <is>
          <t>Pass</t>
        </is>
      </c>
      <c r="I64" s="28" t="inlineStr">
        <is>
          <t>Claude (automated, Playwright)</t>
        </is>
      </c>
      <c r="J64" s="29" t="n">
        <v>46294</v>
      </c>
      <c r="K64" s="27" t="n"/>
      <c r="L64" s="28" t="inlineStr">
        <is>
          <t>Automated pass, 5 checks.</t>
        </is>
      </c>
    </row>
    <row r="65" ht="30" customHeight="1">
      <c r="A65" s="24" t="inlineStr">
        <is>
          <t>DSP-51</t>
        </is>
      </c>
      <c r="B65" s="25" t="inlineStr">
        <is>
          <t>Dispatcher</t>
        </is>
      </c>
      <c r="C65" s="25" t="inlineStr">
        <is>
          <t>Sharing with the customer</t>
        </is>
      </c>
      <c r="D65" s="26" t="inlineStr">
        <is>
          <t>Happy</t>
        </is>
      </c>
      <c r="E65" s="25" t="inlineStr">
        <is>
          <t>A status change shows on the customer page</t>
        </is>
      </c>
      <c r="F65" s="25" t="inlineStr">
        <is>
          <t>1. Move SJ-2026-00088 to Arrived at Port (DSP-24).
2. Open Client tracking page for it.</t>
        </is>
      </c>
      <c r="G65" s="25" t="inlineStr">
        <is>
          <t>The customer page headline reads Arrived at port and the earlier steps show as completed.</t>
        </is>
      </c>
      <c r="H65" s="27" t="inlineStr">
        <is>
          <t>Pass</t>
        </is>
      </c>
      <c r="I65" s="28" t="inlineStr">
        <is>
          <t>Claude (automated, Playwright)</t>
        </is>
      </c>
      <c r="J65" s="29" t="n">
        <v>46294</v>
      </c>
      <c r="K65" s="27" t="n"/>
      <c r="L65" s="28" t="inlineStr">
        <is>
          <t>Automated pass, 2 checks.</t>
        </is>
      </c>
    </row>
    <row r="66" ht="56" customHeight="1">
      <c r="A66" s="24" t="inlineStr">
        <is>
          <t>WHC-01</t>
        </is>
      </c>
      <c r="B66" s="25" t="inlineStr">
        <is>
          <t>Warehouse Crew</t>
        </is>
      </c>
      <c r="C66" s="25" t="inlineStr">
        <is>
          <t>Field work</t>
        </is>
      </c>
      <c r="D66" s="26" t="inlineStr">
        <is>
          <t>Happy</t>
        </is>
      </c>
      <c r="E66" s="25" t="inlineStr">
        <is>
          <t>My Tasks on the floor</t>
        </is>
      </c>
      <c r="F66" s="25" t="inlineStr">
        <is>
          <t>Read the My Tasks page.</t>
        </is>
      </c>
      <c r="G66" s="25" t="inlineStr">
        <is>
          <t>Heading "My Tasks · Ben Santos · Warehouse Crew". Due now (1): Deliver to consignee on SJ-2026-00077 (due 30 Sep 2026). Upcoming (5). A section Deliveries to confirm (1) lists SJ-2026-00077 with a Confirm + POD button.</t>
        </is>
      </c>
      <c r="H66" s="27" t="inlineStr">
        <is>
          <t>Pass</t>
        </is>
      </c>
      <c r="I66" s="28" t="inlineStr">
        <is>
          <t>Claude (automated, Playwright)</t>
        </is>
      </c>
      <c r="J66" s="29" t="n">
        <v>46294</v>
      </c>
      <c r="K66" s="27" t="n"/>
      <c r="L66" s="28" t="inlineStr">
        <is>
          <t>Automated pass, 6 checks.</t>
        </is>
      </c>
    </row>
    <row r="67" ht="30" customHeight="1">
      <c r="A67" s="24" t="inlineStr">
        <is>
          <t>WHC-02</t>
        </is>
      </c>
      <c r="B67" s="25" t="inlineStr">
        <is>
          <t>Warehouse Crew</t>
        </is>
      </c>
      <c r="C67" s="25" t="inlineStr">
        <is>
          <t>Field work</t>
        </is>
      </c>
      <c r="D67" s="26" t="inlineStr">
        <is>
          <t>Access</t>
        </is>
      </c>
      <c r="E67" s="25" t="inlineStr">
        <is>
          <t>Only floor tools in the menu</t>
        </is>
      </c>
      <c r="F67" s="25" t="inlineStr">
        <is>
          <t>Read the sidebar.</t>
        </is>
      </c>
      <c r="G67" s="25" t="inlineStr">
        <is>
          <t>Only My Tasks and Shipment Jobs. No Dashboard, Customers, Inquiries, Users, Audit.</t>
        </is>
      </c>
      <c r="H67" s="27" t="inlineStr">
        <is>
          <t>Pass</t>
        </is>
      </c>
      <c r="I67" s="28" t="inlineStr">
        <is>
          <t>Claude (automated, Playwright)</t>
        </is>
      </c>
      <c r="J67" s="29" t="n">
        <v>46294</v>
      </c>
      <c r="K67" s="27" t="n"/>
      <c r="L67" s="28" t="inlineStr">
        <is>
          <t>Automated pass, 1 checks.</t>
        </is>
      </c>
    </row>
    <row r="68" ht="18" customHeight="1">
      <c r="A68" s="24" t="inlineStr">
        <is>
          <t>WHC-03</t>
        </is>
      </c>
      <c r="B68" s="25" t="inlineStr">
        <is>
          <t>Warehouse Crew</t>
        </is>
      </c>
      <c r="C68" s="25" t="inlineStr">
        <is>
          <t>Field work</t>
        </is>
      </c>
      <c r="D68" s="26" t="inlineStr">
        <is>
          <t>Access</t>
        </is>
      </c>
      <c r="E68" s="25" t="inlineStr">
        <is>
          <t>Only assigned jobs are listed</t>
        </is>
      </c>
      <c r="F68" s="25" t="inlineStr">
        <is>
          <t>Open Shipment Jobs.</t>
        </is>
      </c>
      <c r="G68" s="25" t="inlineStr">
        <is>
          <t>Exactly four jobs: SJ-2026-00101, 00095, 00077, 00065.</t>
        </is>
      </c>
      <c r="H68" s="27" t="inlineStr">
        <is>
          <t>Pass</t>
        </is>
      </c>
      <c r="I68" s="28" t="inlineStr">
        <is>
          <t>Claude (automated, Playwright)</t>
        </is>
      </c>
      <c r="J68" s="29" t="n">
        <v>46294</v>
      </c>
      <c r="K68" s="27" t="n"/>
      <c r="L68" s="28" t="inlineStr">
        <is>
          <t>Automated pass, 1 checks.</t>
        </is>
      </c>
    </row>
    <row r="69" ht="30" customHeight="1">
      <c r="A69" s="24" t="inlineStr">
        <is>
          <t>WHC-04</t>
        </is>
      </c>
      <c r="B69" s="25" t="inlineStr">
        <is>
          <t>Warehouse Crew</t>
        </is>
      </c>
      <c r="C69" s="25" t="inlineStr">
        <is>
          <t>Field work</t>
        </is>
      </c>
      <c r="D69" s="26" t="inlineStr">
        <is>
          <t>Wrong</t>
        </is>
      </c>
      <c r="E69" s="25" t="inlineStr">
        <is>
          <t>Opening a job that is not yours</t>
        </is>
      </c>
      <c r="F69" s="25" t="inlineStr">
        <is>
          <t>Go to #/jobs/SJ-2026-00088.</t>
        </is>
      </c>
      <c r="G69" s="25" t="inlineStr">
        <is>
          <t>"Not available for Warehouse Crew" and "SJ-2026-00088 is not assigned to you." No job details shown.</t>
        </is>
      </c>
      <c r="H69" s="27" t="inlineStr">
        <is>
          <t>Pass</t>
        </is>
      </c>
      <c r="I69" s="28" t="inlineStr">
        <is>
          <t>Claude (automated, Playwright)</t>
        </is>
      </c>
      <c r="J69" s="29" t="n">
        <v>46294</v>
      </c>
      <c r="K69" s="27" t="n"/>
      <c r="L69" s="28" t="inlineStr">
        <is>
          <t>Automated pass, 3 checks.</t>
        </is>
      </c>
    </row>
    <row r="70" ht="56" customHeight="1">
      <c r="A70" s="24" t="inlineStr">
        <is>
          <t>WHC-05</t>
        </is>
      </c>
      <c r="B70" s="25" t="inlineStr">
        <is>
          <t>Warehouse Crew</t>
        </is>
      </c>
      <c r="C70" s="25" t="inlineStr">
        <is>
          <t>Field work</t>
        </is>
      </c>
      <c r="D70" s="26" t="inlineStr">
        <is>
          <t>Access</t>
        </is>
      </c>
      <c r="E70" s="25" t="inlineStr">
        <is>
          <t>Tasks tab is limited to my own tasks</t>
        </is>
      </c>
      <c r="F70" s="25" t="inlineStr">
        <is>
          <t>Open SJ-2026-00077, Tasks tab.</t>
        </is>
      </c>
      <c r="G70" s="25" t="inlineStr">
        <is>
          <t>Note "Showing your tasks only." Only Ben's two tasks appear (Deliver to consignee, Return empty container). There is no Reassign button. On a job where Ben has no open tasks the table says "No tasks assigned to you on this job."</t>
        </is>
      </c>
      <c r="H70" s="27" t="inlineStr">
        <is>
          <t>Fail</t>
        </is>
      </c>
      <c r="I70" s="28" t="inlineStr">
        <is>
          <t>Claude (automated, Playwright)</t>
        </is>
      </c>
      <c r="J70" s="29" t="n">
        <v>46294</v>
      </c>
      <c r="K70" s="27" t="inlineStr">
        <is>
          <t>D-003</t>
        </is>
      </c>
      <c r="L70" s="28" t="inlineStr">
        <is>
          <t>Automated FAIL: Expected "No tasks assigned to you on this job." on a job where Ben has no open tasks, but it never appears: Ben can only open jobs where he owns a task, and on SJ-2026-00101 (all his tasks done) the two Completed tasks are still listed. That empty state cannot be reached with the sample data.</t>
        </is>
      </c>
    </row>
    <row r="71" ht="69" customHeight="1">
      <c r="A71" s="24" t="inlineStr">
        <is>
          <t>WHC-06</t>
        </is>
      </c>
      <c r="B71" s="25" t="inlineStr">
        <is>
          <t>Warehouse Crew</t>
        </is>
      </c>
      <c r="C71" s="25" t="inlineStr">
        <is>
          <t>Field work</t>
        </is>
      </c>
      <c r="D71" s="26" t="inlineStr">
        <is>
          <t>Happy</t>
        </is>
      </c>
      <c r="E71" s="25" t="inlineStr">
        <is>
          <t>Confirm a delivery with proof</t>
        </is>
      </c>
      <c r="F71" s="25" t="inlineStr">
        <is>
          <t>1. On My Tasks click Confirm + POD for SJ-2026-00077.
2. Received by J. Ramos (Receiving), attach a file as proof of delivery, damage switch off.
3. Confirm delivery.</t>
        </is>
      </c>
      <c r="G71" s="25" t="inlineStr">
        <is>
          <t>Message "Delivery confirmed in full." The job becomes Delivered. The Deliveries to confirm list now says "Nothing out for delivery right now." On the job's Delivery tab you see "Delivered in full", the date, the receiver, and your file name as the Proof of Delivery.</t>
        </is>
      </c>
      <c r="H71" s="27" t="inlineStr">
        <is>
          <t>Pass</t>
        </is>
      </c>
      <c r="I71" s="28" t="inlineStr">
        <is>
          <t>Claude (automated, Playwright)</t>
        </is>
      </c>
      <c r="J71" s="29" t="n">
        <v>46294</v>
      </c>
      <c r="K71" s="27" t="n"/>
      <c r="L71" s="28" t="inlineStr">
        <is>
          <t>Automated pass, 9 checks.</t>
        </is>
      </c>
    </row>
    <row r="72" ht="30" customHeight="1">
      <c r="A72" s="24" t="inlineStr">
        <is>
          <t>WHC-07</t>
        </is>
      </c>
      <c r="B72" s="25" t="inlineStr">
        <is>
          <t>Warehouse Crew</t>
        </is>
      </c>
      <c r="C72" s="25" t="inlineStr">
        <is>
          <t>Field work</t>
        </is>
      </c>
      <c r="D72" s="26" t="inlineStr">
        <is>
          <t>Wrong</t>
        </is>
      </c>
      <c r="E72" s="25" t="inlineStr">
        <is>
          <t>Confirm without who received it</t>
        </is>
      </c>
      <c r="F72" s="25" t="inlineStr">
        <is>
          <t>Open the same drawer, leave Received by empty, submit.</t>
        </is>
      </c>
      <c r="G72" s="25" t="inlineStr">
        <is>
          <t>Message "Enter who received the delivery." Job stays Out for Delivery.</t>
        </is>
      </c>
      <c r="H72" s="27" t="inlineStr">
        <is>
          <t>Pass</t>
        </is>
      </c>
      <c r="I72" s="28" t="inlineStr">
        <is>
          <t>Claude (automated, Playwright)</t>
        </is>
      </c>
      <c r="J72" s="29" t="n">
        <v>46294</v>
      </c>
      <c r="K72" s="27" t="n"/>
      <c r="L72" s="28" t="inlineStr">
        <is>
          <t>Automated pass, 2 checks. Note: Needed a page refresh first: WHC-06 already delivers SJ-2026-00077, so "the same drawer" is not available on the same page load</t>
        </is>
      </c>
    </row>
    <row r="73" ht="30" customHeight="1">
      <c r="A73" s="24" t="inlineStr">
        <is>
          <t>WHC-08</t>
        </is>
      </c>
      <c r="B73" s="25" t="inlineStr">
        <is>
          <t>Warehouse Crew</t>
        </is>
      </c>
      <c r="C73" s="25" t="inlineStr">
        <is>
          <t>Field work</t>
        </is>
      </c>
      <c r="D73" s="26" t="inlineStr">
        <is>
          <t>Wrong</t>
        </is>
      </c>
      <c r="E73" s="25" t="inlineStr">
        <is>
          <t>Confirm without proof of delivery</t>
        </is>
      </c>
      <c r="F73" s="25" t="inlineStr">
        <is>
          <t>Fill Received by but attach nothing, submit.</t>
        </is>
      </c>
      <c r="G73" s="25" t="inlineStr">
        <is>
          <t>Message "Attach the proof of delivery before confirming." Job stays Out for Delivery.</t>
        </is>
      </c>
      <c r="H73" s="27" t="inlineStr">
        <is>
          <t>Pass</t>
        </is>
      </c>
      <c r="I73" s="28" t="inlineStr">
        <is>
          <t>Claude (automated, Playwright)</t>
        </is>
      </c>
      <c r="J73" s="29" t="n">
        <v>46294</v>
      </c>
      <c r="K73" s="27" t="n"/>
      <c r="L73" s="28" t="inlineStr">
        <is>
          <t>Automated pass, 2 checks.</t>
        </is>
      </c>
    </row>
    <row r="74" ht="56" customHeight="1">
      <c r="A74" s="24" t="inlineStr">
        <is>
          <t>WHC-09</t>
        </is>
      </c>
      <c r="B74" s="25" t="inlineStr">
        <is>
          <t>Warehouse Crew</t>
        </is>
      </c>
      <c r="C74" s="25" t="inlineStr">
        <is>
          <t>Field work</t>
        </is>
      </c>
      <c r="D74" s="26" t="inlineStr">
        <is>
          <t>Wrong</t>
        </is>
      </c>
      <c r="E74" s="25" t="inlineStr">
        <is>
          <t>Delivered with damage (Refresh first)</t>
        </is>
      </c>
      <c r="F74" s="25" t="inlineStr">
        <is>
          <t>1. Repeat WHC-06 but switch Damage or incomplete delivery on and describe Two pallets crushed.
2. Confirm.</t>
        </is>
      </c>
      <c r="G74" s="25" t="inlineStr">
        <is>
          <t>Message "Delivery confirmed — damage reported." The Delivery tab shows a red "Damage / incomplete delivery reported" box with your description. The job is Delivered. (Later, the billing checklist must stay blocked, see MGR-18.)</t>
        </is>
      </c>
      <c r="H74" s="27" t="inlineStr">
        <is>
          <t>Pass</t>
        </is>
      </c>
      <c r="I74" s="28" t="inlineStr">
        <is>
          <t>Claude (automated, Playwright)</t>
        </is>
      </c>
      <c r="J74" s="29" t="n">
        <v>46294</v>
      </c>
      <c r="K74" s="27" t="n"/>
      <c r="L74" s="28" t="inlineStr">
        <is>
          <t>Automated pass, 5 checks.</t>
        </is>
      </c>
    </row>
    <row r="75" ht="43" customHeight="1">
      <c r="A75" s="24" t="inlineStr">
        <is>
          <t>WHC-10</t>
        </is>
      </c>
      <c r="B75" s="25" t="inlineStr">
        <is>
          <t>Warehouse Crew</t>
        </is>
      </c>
      <c r="C75" s="25" t="inlineStr">
        <is>
          <t>Field work</t>
        </is>
      </c>
      <c r="D75" s="26" t="inlineStr">
        <is>
          <t>Wrong</t>
        </is>
      </c>
      <c r="E75" s="25" t="inlineStr">
        <is>
          <t>Delivery cannot be confirmed too early</t>
        </is>
      </c>
      <c r="F75" s="25" t="inlineStr">
        <is>
          <t>1. Open SJ-2026-00095 (Documentation), Delivery tab.</t>
        </is>
      </c>
      <c r="G75" s="25" t="inlineStr">
        <is>
          <t>Blue note "Not out for delivery yet: Delivery can be confirmed once the job is Out for Delivery. It is currently Documentation." No form.</t>
        </is>
      </c>
      <c r="H75" s="27" t="inlineStr">
        <is>
          <t>Pass</t>
        </is>
      </c>
      <c r="I75" s="28" t="inlineStr">
        <is>
          <t>Claude (automated, Playwright)</t>
        </is>
      </c>
      <c r="J75" s="29" t="n">
        <v>46294</v>
      </c>
      <c r="K75" s="27" t="n"/>
      <c r="L75" s="28" t="inlineStr">
        <is>
          <t>Automated pass, 3 checks.</t>
        </is>
      </c>
    </row>
    <row r="76" ht="30" customHeight="1">
      <c r="A76" s="24" t="inlineStr">
        <is>
          <t>WHC-11</t>
        </is>
      </c>
      <c r="B76" s="25" t="inlineStr">
        <is>
          <t>Warehouse Crew</t>
        </is>
      </c>
      <c r="C76" s="25" t="inlineStr">
        <is>
          <t>Field work</t>
        </is>
      </c>
      <c r="D76" s="26" t="inlineStr">
        <is>
          <t>Happy</t>
        </is>
      </c>
      <c r="E76" s="25" t="inlineStr">
        <is>
          <t>Complete a delivery task with proof</t>
        </is>
      </c>
      <c r="F76" s="25" t="inlineStr">
        <is>
          <t>On SJ-2026-00077 Tasks, Complete on "Deliver to consignee", attach a file, note Left at dock 2, Mark complete.</t>
        </is>
      </c>
      <c r="G76" s="25" t="inlineStr">
        <is>
          <t>Status Completed, View evidence appears and shows Completed by Ben Santos.</t>
        </is>
      </c>
      <c r="H76" s="27" t="inlineStr">
        <is>
          <t>Pass</t>
        </is>
      </c>
      <c r="I76" s="28" t="inlineStr">
        <is>
          <t>Claude (automated, Playwright)</t>
        </is>
      </c>
      <c r="J76" s="29" t="n">
        <v>46294</v>
      </c>
      <c r="K76" s="27" t="n"/>
      <c r="L76" s="28" t="inlineStr">
        <is>
          <t>Automated pass, 2 checks.</t>
        </is>
      </c>
    </row>
    <row r="77" ht="30" customHeight="1">
      <c r="A77" s="24" t="inlineStr">
        <is>
          <t>WHC-12</t>
        </is>
      </c>
      <c r="B77" s="25" t="inlineStr">
        <is>
          <t>Warehouse Crew</t>
        </is>
      </c>
      <c r="C77" s="25" t="inlineStr">
        <is>
          <t>Field work</t>
        </is>
      </c>
      <c r="D77" s="26" t="inlineStr">
        <is>
          <t>Wrong</t>
        </is>
      </c>
      <c r="E77" s="25" t="inlineStr">
        <is>
          <t>Complete without proof</t>
        </is>
      </c>
      <c r="F77" s="25" t="inlineStr">
        <is>
          <t>Try the same on another proof-required task (SJ-2026-00065 "Deliver to consignee") without a file.</t>
        </is>
      </c>
      <c r="G77" s="25" t="inlineStr">
        <is>
          <t>Message "Attach the completion evidence first. This task requires it."</t>
        </is>
      </c>
      <c r="H77" s="27" t="inlineStr">
        <is>
          <t>Pass</t>
        </is>
      </c>
      <c r="I77" s="28" t="inlineStr">
        <is>
          <t>Claude (automated, Playwright)</t>
        </is>
      </c>
      <c r="J77" s="29" t="n">
        <v>46294</v>
      </c>
      <c r="K77" s="27" t="n"/>
      <c r="L77" s="28" t="inlineStr">
        <is>
          <t>Automated pass, 1 checks.</t>
        </is>
      </c>
    </row>
    <row r="78" ht="69" customHeight="1">
      <c r="A78" s="24" t="inlineStr">
        <is>
          <t>WHC-13</t>
        </is>
      </c>
      <c r="B78" s="25" t="inlineStr">
        <is>
          <t>Warehouse Crew</t>
        </is>
      </c>
      <c r="C78" s="25" t="inlineStr">
        <is>
          <t>Field work</t>
        </is>
      </c>
      <c r="D78" s="26" t="inlineStr">
        <is>
          <t>Happy</t>
        </is>
      </c>
      <c r="E78" s="25" t="inlineStr">
        <is>
          <t>Return the empty container (act as Rico, see 2.2)</t>
        </is>
      </c>
      <c r="F78" s="25" t="inlineStr">
        <is>
          <t>1. On the jobs list note SJ-2026-00070 shows the flag "Free detention: 2d left".
2. Open it, Tasks tab, Complete "Return empty container" (no proof needed).
3. Go back to the jobs list.</t>
        </is>
      </c>
      <c r="G78" s="25" t="inlineStr">
        <is>
          <t>Task Completed. The detention flag is gone from SJ-2026-00070.</t>
        </is>
      </c>
      <c r="H78" s="27" t="inlineStr">
        <is>
          <t>Pass</t>
        </is>
      </c>
      <c r="I78" s="28" t="inlineStr">
        <is>
          <t>Claude (automated, Playwright)</t>
        </is>
      </c>
      <c r="J78" s="29" t="n">
        <v>46294</v>
      </c>
      <c r="K78" s="27" t="n"/>
      <c r="L78" s="28" t="inlineStr">
        <is>
          <t>Automated pass, 4 checks.</t>
        </is>
      </c>
    </row>
    <row r="79" ht="56" customHeight="1">
      <c r="A79" s="24" t="inlineStr">
        <is>
          <t>WHC-14</t>
        </is>
      </c>
      <c r="B79" s="25" t="inlineStr">
        <is>
          <t>Warehouse Crew</t>
        </is>
      </c>
      <c r="C79" s="25" t="inlineStr">
        <is>
          <t>Field work</t>
        </is>
      </c>
      <c r="D79" s="26" t="inlineStr">
        <is>
          <t>Access</t>
        </is>
      </c>
      <c r="E79" s="25" t="inlineStr">
        <is>
          <t>Documents: upload only</t>
        </is>
      </c>
      <c r="F79" s="25" t="inlineStr">
        <is>
          <t>1. Open SJ-2026-00095 Documents.</t>
        </is>
      </c>
      <c r="G79" s="25" t="inlineStr">
        <is>
          <t>Import Permit (Missing) has Upload; Certificate of Origin (Rejected) has Replace; Bill of Lading (Pending Review) has no Review button. Uploading works as in DSP-41 (a first upload becomes version 1).</t>
        </is>
      </c>
      <c r="H79" s="27" t="inlineStr">
        <is>
          <t>Pass</t>
        </is>
      </c>
      <c r="I79" s="28" t="inlineStr">
        <is>
          <t>Claude (automated, Playwright)</t>
        </is>
      </c>
      <c r="J79" s="29" t="n">
        <v>46294</v>
      </c>
      <c r="K79" s="27" t="n"/>
      <c r="L79" s="28" t="inlineStr">
        <is>
          <t>Automated pass, 5 checks.</t>
        </is>
      </c>
    </row>
    <row r="80" ht="43" customHeight="1">
      <c r="A80" s="24" t="inlineStr">
        <is>
          <t>WHC-15</t>
        </is>
      </c>
      <c r="B80" s="25" t="inlineStr">
        <is>
          <t>Warehouse Crew</t>
        </is>
      </c>
      <c r="C80" s="25" t="inlineStr">
        <is>
          <t>Field work</t>
        </is>
      </c>
      <c r="D80" s="26" t="inlineStr">
        <is>
          <t>Happy</t>
        </is>
      </c>
      <c r="E80" s="25" t="inlineStr">
        <is>
          <t>Raise an exception from the floor</t>
        </is>
      </c>
      <c r="F80" s="25" t="inlineStr">
        <is>
          <t>On SJ-2026-00077 Exceptions, Raise exception, category Damage, reason Container door seal broken.</t>
        </is>
      </c>
      <c r="G80" s="25" t="inlineStr">
        <is>
          <t>Job becomes Exception Hold, exception is Pending Approval, and there is no Review button for the crew. Message "Exception raised — job on hold."</t>
        </is>
      </c>
      <c r="H80" s="27" t="inlineStr">
        <is>
          <t>Pass</t>
        </is>
      </c>
      <c r="I80" s="28" t="inlineStr">
        <is>
          <t>Claude (automated, Playwright)</t>
        </is>
      </c>
      <c r="J80" s="29" t="n">
        <v>46294</v>
      </c>
      <c r="K80" s="27" t="n"/>
      <c r="L80" s="28" t="inlineStr">
        <is>
          <t>Automated pass, 4 checks.</t>
        </is>
      </c>
    </row>
    <row r="81" ht="43" customHeight="1">
      <c r="A81" s="24" t="inlineStr">
        <is>
          <t>WHC-16</t>
        </is>
      </c>
      <c r="B81" s="25" t="inlineStr">
        <is>
          <t>Warehouse Crew</t>
        </is>
      </c>
      <c r="C81" s="25" t="inlineStr">
        <is>
          <t>Field work</t>
        </is>
      </c>
      <c r="D81" s="26" t="inlineStr">
        <is>
          <t>Access</t>
        </is>
      </c>
      <c r="E81" s="25" t="inlineStr">
        <is>
          <t>No money, no admin</t>
        </is>
      </c>
      <c r="F81" s="25" t="inlineStr">
        <is>
          <t>1. Open any assigned job.
2. Go to #/jobs/SJ-2026-00077/charges.</t>
        </is>
      </c>
      <c r="G81" s="25" t="inlineStr">
        <is>
          <t>Tabs: Overview, Tasks, Documents, Exceptions, Delivery. No Charges tab. The address shows Overview. No charges, funds or margin anywhere.</t>
        </is>
      </c>
      <c r="H81" s="27" t="inlineStr">
        <is>
          <t>Pass</t>
        </is>
      </c>
      <c r="I81" s="28" t="inlineStr">
        <is>
          <t>Claude (automated, Playwright)</t>
        </is>
      </c>
      <c r="J81" s="29" t="n">
        <v>46294</v>
      </c>
      <c r="K81" s="27" t="n"/>
      <c r="L81" s="28" t="inlineStr">
        <is>
          <t>Automated pass, 3 checks.</t>
        </is>
      </c>
    </row>
    <row r="82" ht="18" customHeight="1">
      <c r="A82" s="24" t="inlineStr">
        <is>
          <t>WHC-17</t>
        </is>
      </c>
      <c r="B82" s="25" t="inlineStr">
        <is>
          <t>Warehouse Crew</t>
        </is>
      </c>
      <c r="C82" s="25" t="inlineStr">
        <is>
          <t>Field work</t>
        </is>
      </c>
      <c r="D82" s="26" t="inlineStr">
        <is>
          <t>Access</t>
        </is>
      </c>
      <c r="E82" s="25" t="inlineStr">
        <is>
          <t>Dashboard is not for the crew</t>
        </is>
      </c>
      <c r="F82" s="25" t="inlineStr">
        <is>
          <t>Go to #/dashboard.</t>
        </is>
      </c>
      <c r="G82" s="25" t="inlineStr">
        <is>
          <t>"Not available for Warehouse Crew".</t>
        </is>
      </c>
      <c r="H82" s="27" t="inlineStr">
        <is>
          <t>Pass</t>
        </is>
      </c>
      <c r="I82" s="28" t="inlineStr">
        <is>
          <t>Claude (automated, Playwright)</t>
        </is>
      </c>
      <c r="J82" s="29" t="n">
        <v>46294</v>
      </c>
      <c r="K82" s="27" t="n"/>
      <c r="L82" s="28" t="inlineStr">
        <is>
          <t>Automated pass, 1 checks.</t>
        </is>
      </c>
    </row>
    <row r="83" ht="56" customHeight="1">
      <c r="A83" s="24" t="inlineStr">
        <is>
          <t>WHC-18</t>
        </is>
      </c>
      <c r="B83" s="25" t="inlineStr">
        <is>
          <t>Warehouse Crew</t>
        </is>
      </c>
      <c r="C83" s="25" t="inlineStr">
        <is>
          <t>Field work</t>
        </is>
      </c>
      <c r="D83" s="26" t="inlineStr">
        <is>
          <t>Happy</t>
        </is>
      </c>
      <c r="E83" s="25" t="inlineStr">
        <is>
          <t>Rico's day (act as Rico)</t>
        </is>
      </c>
      <c r="F83" s="25" t="inlineStr">
        <is>
          <t>Read Rico's My Tasks and Jobs.</t>
        </is>
      </c>
      <c r="G83" s="25" t="inlineStr">
        <is>
          <t>Jobs list shows 8 jobs: SJ-2026-00088, 00082, 00130, 00070, 00120, 00060, 00050, 00110. Due now (1): Return empty container on SJ-2026-00070. "Deliveries to confirm" says "Nothing out for delivery right now."</t>
        </is>
      </c>
      <c r="H83" s="27" t="inlineStr">
        <is>
          <t>Pass</t>
        </is>
      </c>
      <c r="I83" s="28" t="inlineStr">
        <is>
          <t>Claude (automated, Playwright)</t>
        </is>
      </c>
      <c r="J83" s="29" t="n">
        <v>46294</v>
      </c>
      <c r="K83" s="27" t="n"/>
      <c r="L83" s="28" t="inlineStr">
        <is>
          <t>Automated pass, 5 checks.</t>
        </is>
      </c>
    </row>
    <row r="84" ht="30" customHeight="1">
      <c r="A84" s="24" t="inlineStr">
        <is>
          <t>WHC-19</t>
        </is>
      </c>
      <c r="B84" s="25" t="inlineStr">
        <is>
          <t>Warehouse Crew</t>
        </is>
      </c>
      <c r="C84" s="25" t="inlineStr">
        <is>
          <t>Field work</t>
        </is>
      </c>
      <c r="D84" s="26" t="inlineStr">
        <is>
          <t>Happy</t>
        </is>
      </c>
      <c r="E84" s="25" t="inlineStr">
        <is>
          <t>Phone use</t>
        </is>
      </c>
      <c r="F84" s="25" t="inlineStr">
        <is>
          <t>Narrow the browser to 400 px (or use a phone) and repeat WHC-01 and WHC-06.</t>
        </is>
      </c>
      <c r="G84" s="25" t="inlineStr">
        <is>
          <t>The menu becomes a bottom bar, tables scroll or stack, buttons are large enough to tap, and nothing is cut off.</t>
        </is>
      </c>
      <c r="H84" s="27" t="inlineStr">
        <is>
          <t>Pass</t>
        </is>
      </c>
      <c r="I84" s="28" t="inlineStr">
        <is>
          <t>Claude (automated, Playwright)</t>
        </is>
      </c>
      <c r="J84" s="29" t="n">
        <v>46294</v>
      </c>
      <c r="K84" s="27" t="n"/>
      <c r="L84" s="28" t="inlineStr">
        <is>
          <t>Automated pass, 7 checks. Note: Confirm + POD button is 30px tall (below the common 44px touch guideline, above 24px WCAG minimum)</t>
        </is>
      </c>
    </row>
    <row r="85" ht="82" customHeight="1">
      <c r="A85" s="24" t="inlineStr">
        <is>
          <t>MGR-01</t>
        </is>
      </c>
      <c r="B85" s="25" t="inlineStr">
        <is>
          <t>Manager</t>
        </is>
      </c>
      <c r="C85" s="25" t="inlineStr">
        <is>
          <t>Oversight dashboard</t>
        </is>
      </c>
      <c r="D85" s="26" t="inlineStr">
        <is>
          <t>Happy</t>
        </is>
      </c>
      <c r="E85" s="25" t="inlineStr">
        <is>
          <t>The whole business at a glance</t>
        </is>
      </c>
      <c r="F85" s="25" t="inlineStr">
        <is>
          <t>Open Dashboard.</t>
        </is>
      </c>
      <c r="G85" s="25" t="inlineStr">
        <is>
          <t>Six cards: Active jobs 11, Overdue tasks 1, Missing / rejected docs 7, Open exceptions 1, Billing ready 2, Jobs short on funds 1. Panels in order: Shipment status, Workload per user, Overdue tasks, Missing &amp; rejected documents, Open exceptions, Jobs short on funds, Billing readiness, Cost &amp; margin, Billing-ready aging. Subtitle "Management visibility across every shipment job".</t>
        </is>
      </c>
      <c r="H85" s="27" t="inlineStr">
        <is>
          <t>Pass</t>
        </is>
      </c>
      <c r="I85" s="28" t="inlineStr">
        <is>
          <t>Claude (automated, Playwright)</t>
        </is>
      </c>
      <c r="J85" s="29" t="n">
        <v>46294</v>
      </c>
      <c r="K85" s="27" t="n"/>
      <c r="L85" s="28" t="inlineStr">
        <is>
          <t>Automated pass, 8 checks.</t>
        </is>
      </c>
    </row>
    <row r="86" ht="30" customHeight="1">
      <c r="A86" s="24" t="inlineStr">
        <is>
          <t>MGR-02</t>
        </is>
      </c>
      <c r="B86" s="25" t="inlineStr">
        <is>
          <t>Manager</t>
        </is>
      </c>
      <c r="C86" s="25" t="inlineStr">
        <is>
          <t>Oversight dashboard</t>
        </is>
      </c>
      <c r="D86" s="26" t="inlineStr">
        <is>
          <t>Happy</t>
        </is>
      </c>
      <c r="E86" s="25" t="inlineStr">
        <is>
          <t>Workload per user</t>
        </is>
      </c>
      <c r="F86" s="25" t="inlineStr">
        <is>
          <t>Read Workload per user.</t>
        </is>
      </c>
      <c r="G86" s="25" t="inlineStr">
        <is>
          <t>Cathy Lim 15 (1 overdue shown in red), Ana Cruz 12, Rico Domingo 11, Ben Santos 6.</t>
        </is>
      </c>
      <c r="H86" s="27" t="inlineStr">
        <is>
          <t>Pass</t>
        </is>
      </c>
      <c r="I86" s="28" t="inlineStr">
        <is>
          <t>Claude (automated, Playwright)</t>
        </is>
      </c>
      <c r="J86" s="29" t="n">
        <v>46294</v>
      </c>
      <c r="K86" s="27" t="n"/>
      <c r="L86" s="28" t="inlineStr">
        <is>
          <t>Automated pass, 5 checks.</t>
        </is>
      </c>
    </row>
    <row r="87" ht="82" customHeight="1">
      <c r="A87" s="24" t="inlineStr">
        <is>
          <t>MGR-03</t>
        </is>
      </c>
      <c r="B87" s="25" t="inlineStr">
        <is>
          <t>Manager</t>
        </is>
      </c>
      <c r="C87" s="25" t="inlineStr">
        <is>
          <t>Oversight dashboard</t>
        </is>
      </c>
      <c r="D87" s="26" t="inlineStr">
        <is>
          <t>Happy</t>
        </is>
      </c>
      <c r="E87" s="25" t="inlineStr">
        <is>
          <t>Overdue, documents and exceptions lists</t>
        </is>
      </c>
      <c r="F87" s="25" t="inlineStr">
        <is>
          <t>Read the three tables.</t>
        </is>
      </c>
      <c r="G87" s="25" t="inlineStr">
        <is>
          <t>Overdue: SJ-2026-00082 Lodge customs entry, owner Cathy Lim, due 24 Sep 2026. Missing/rejected docs: SJ-2026-00095 (Certificate of Origin rejected, Import Permit missing) and five rows for SJ-2026-00110. Open exceptions: SJ-2026-00065, Customs Clearance, Documentation Discrepancy, 26 Sep 2026, Pending Approval. Clicking a row opens that job on the right tab.</t>
        </is>
      </c>
      <c r="H87" s="27" t="inlineStr">
        <is>
          <t>Pass</t>
        </is>
      </c>
      <c r="I87" s="28" t="inlineStr">
        <is>
          <t>Claude (automated, Playwright)</t>
        </is>
      </c>
      <c r="J87" s="29" t="n">
        <v>46294</v>
      </c>
      <c r="K87" s="27" t="n"/>
      <c r="L87" s="28" t="inlineStr">
        <is>
          <t>Automated pass, 9 checks.</t>
        </is>
      </c>
    </row>
    <row r="88" ht="108" customHeight="1">
      <c r="A88" s="24" t="inlineStr">
        <is>
          <t>MGR-04</t>
        </is>
      </c>
      <c r="B88" s="25" t="inlineStr">
        <is>
          <t>Manager</t>
        </is>
      </c>
      <c r="C88" s="25" t="inlineStr">
        <is>
          <t>Oversight dashboard</t>
        </is>
      </c>
      <c r="D88" s="26" t="inlineStr">
        <is>
          <t>Happy</t>
        </is>
      </c>
      <c r="E88" s="25" t="inlineStr">
        <is>
          <t>Funds and margin roll-up</t>
        </is>
      </c>
      <c r="F88" s="25" t="inlineStr">
        <is>
          <t>Read Jobs short on funds, Billing readiness, Cost &amp; margin, Billing-ready aging.</t>
        </is>
      </c>
      <c r="G88" s="25" t="inlineStr">
        <is>
          <t>Short on funds: SJ-2026-00120, Golden Harvest, Customs duty, due 30 Sep, funds on hand ₱10,000.00, short by ₱8,400.00, "Fees start in 2 days". Billing readiness: 00101 Ready ₱153,900.00, 00070 Not ready ₱149,200.00, 00120 Not ready ₱114,400.00, 00060 Ready ₱153,900.00, 00050 Ready ₱104,700.00 (recorded charges). Cost &amp; margin: Billing-ready value ₱312,800.00 with "₱300,800.00 pass-through · ₱12,000.00 our fees", Avg. margin 2.5%, Oldest billing-ready job 6 days. Aging: 00060 6 days (red), 00101 1 day.</t>
        </is>
      </c>
      <c r="H88" s="27" t="inlineStr">
        <is>
          <t>Pass</t>
        </is>
      </c>
      <c r="I88" s="28" t="inlineStr">
        <is>
          <t>Claude (automated, Playwright)</t>
        </is>
      </c>
      <c r="J88" s="29" t="n">
        <v>46294</v>
      </c>
      <c r="K88" s="27" t="n"/>
      <c r="L88" s="28" t="inlineStr">
        <is>
          <t>Automated pass, 20 checks.</t>
        </is>
      </c>
    </row>
    <row r="89" ht="82" customHeight="1">
      <c r="A89" s="24" t="inlineStr">
        <is>
          <t>MGR-05</t>
        </is>
      </c>
      <c r="B89" s="25" t="inlineStr">
        <is>
          <t>Manager</t>
        </is>
      </c>
      <c r="C89" s="25" t="inlineStr">
        <is>
          <t>Exceptions and approvals</t>
        </is>
      </c>
      <c r="D89" s="26" t="inlineStr">
        <is>
          <t>Happy</t>
        </is>
      </c>
      <c r="E89" s="25" t="inlineStr">
        <is>
          <t>Approve an exception and assign the fix</t>
        </is>
      </c>
      <c r="F89" s="25" t="inlineStr">
        <is>
          <t>1. Open SJ-2026-00065, Exceptions tab, Review on the HS code exception.
2. Corrective task Re-issue commercial invoice with matching HS code, owner Cathy Lim.
3. Approve &amp; assign.</t>
        </is>
      </c>
      <c r="G89" s="25" t="inlineStr">
        <is>
          <t>Message "Exception approved; task assigned to Cathy Lim." The exception shows Approved and a blue "Corrective task assigned ... assigned to Cathy Lim". The job leaves Exception Hold and returns to Customs Clearance. Dashboard Open exceptions falls to 0. Cathy's My Tasks gains the new task (Pending, due 01 Oct 2026, evidence required).</t>
        </is>
      </c>
      <c r="H89" s="27" t="inlineStr">
        <is>
          <t>Pass</t>
        </is>
      </c>
      <c r="I89" s="28" t="inlineStr">
        <is>
          <t>Claude (automated, Playwright)</t>
        </is>
      </c>
      <c r="J89" s="29" t="n">
        <v>46294</v>
      </c>
      <c r="K89" s="27" t="n"/>
      <c r="L89" s="28" t="inlineStr">
        <is>
          <t>Automated pass, 9 checks.</t>
        </is>
      </c>
    </row>
    <row r="90" ht="30" customHeight="1">
      <c r="A90" s="24" t="inlineStr">
        <is>
          <t>MGR-06</t>
        </is>
      </c>
      <c r="B90" s="25" t="inlineStr">
        <is>
          <t>Manager</t>
        </is>
      </c>
      <c r="C90" s="25" t="inlineStr">
        <is>
          <t>Exceptions and approvals</t>
        </is>
      </c>
      <c r="D90" s="26" t="inlineStr">
        <is>
          <t>Happy</t>
        </is>
      </c>
      <c r="E90" s="25" t="inlineStr">
        <is>
          <t>Reject an exception (Refresh first)</t>
        </is>
      </c>
      <c r="F90" s="25" t="inlineStr">
        <is>
          <t>1. Raise an exception on SJ-2026-00088 (reason Test).
2. Review, then Reject.</t>
        </is>
      </c>
      <c r="G90" s="25" t="inlineStr">
        <is>
          <t>Message "Exception rejected." Status Rejected, the hold is released, no corrective task is created.</t>
        </is>
      </c>
      <c r="H90" s="27" t="inlineStr">
        <is>
          <t>Pass</t>
        </is>
      </c>
      <c r="I90" s="28" t="inlineStr">
        <is>
          <t>Claude (automated, Playwright)</t>
        </is>
      </c>
      <c r="J90" s="29" t="n">
        <v>46294</v>
      </c>
      <c r="K90" s="27" t="n"/>
      <c r="L90" s="28" t="inlineStr">
        <is>
          <t>Automated pass, 4 checks.</t>
        </is>
      </c>
    </row>
    <row r="91" ht="30" customHeight="1">
      <c r="A91" s="24" t="inlineStr">
        <is>
          <t>MGR-07</t>
        </is>
      </c>
      <c r="B91" s="25" t="inlineStr">
        <is>
          <t>Manager</t>
        </is>
      </c>
      <c r="C91" s="25" t="inlineStr">
        <is>
          <t>Exceptions and approvals</t>
        </is>
      </c>
      <c r="D91" s="26" t="inlineStr">
        <is>
          <t>Edge</t>
        </is>
      </c>
      <c r="E91" s="25" t="inlineStr">
        <is>
          <t>Two exceptions on one job</t>
        </is>
      </c>
      <c r="F91" s="25" t="inlineStr">
        <is>
          <t>On SJ-2026-00065 raise a second exception, then approve only the first.</t>
        </is>
      </c>
      <c r="G91" s="25" t="inlineStr">
        <is>
          <t>The job stays on hold because one is still Pending. It releases only after the second is decided. Second exception is EX2.</t>
        </is>
      </c>
      <c r="H91" s="27" t="inlineStr">
        <is>
          <t>Pass</t>
        </is>
      </c>
      <c r="I91" s="28" t="inlineStr">
        <is>
          <t>Claude (automated, Playwright)</t>
        </is>
      </c>
      <c r="J91" s="29" t="n">
        <v>46294</v>
      </c>
      <c r="K91" s="27" t="n"/>
      <c r="L91" s="28" t="inlineStr">
        <is>
          <t>Automated pass, 5 checks.</t>
        </is>
      </c>
    </row>
    <row r="92" ht="30" customHeight="1">
      <c r="A92" s="24" t="inlineStr">
        <is>
          <t>MGR-08</t>
        </is>
      </c>
      <c r="B92" s="25" t="inlineStr">
        <is>
          <t>Manager</t>
        </is>
      </c>
      <c r="C92" s="25" t="inlineStr">
        <is>
          <t>Customs control and overrides</t>
        </is>
      </c>
      <c r="D92" s="26" t="inlineStr">
        <is>
          <t>Happy</t>
        </is>
      </c>
      <c r="E92" s="25" t="inlineStr">
        <is>
          <t>Set the customs lane</t>
        </is>
      </c>
      <c r="F92" s="25" t="inlineStr">
        <is>
          <t>On SJ-2026-00120, in the Customs Clearance panel change Lane from Green to Yellow.</t>
        </is>
      </c>
      <c r="G92" s="25" t="inlineStr">
        <is>
          <t>Message "Customs lane set to Yellow." The panel shows a Yellow lane pill. History gains "Customs lane set".</t>
        </is>
      </c>
      <c r="H92" s="27" t="inlineStr">
        <is>
          <t>Pass</t>
        </is>
      </c>
      <c r="I92" s="28" t="inlineStr">
        <is>
          <t>Claude (automated, Playwright)</t>
        </is>
      </c>
      <c r="J92" s="29" t="n">
        <v>46294</v>
      </c>
      <c r="K92" s="27" t="n"/>
      <c r="L92" s="28" t="inlineStr">
        <is>
          <t>Automated pass, 3 checks.</t>
        </is>
      </c>
    </row>
    <row r="93" ht="82" customHeight="1">
      <c r="A93" s="24" t="inlineStr">
        <is>
          <t>MGR-09</t>
        </is>
      </c>
      <c r="B93" s="25" t="inlineStr">
        <is>
          <t>Manager</t>
        </is>
      </c>
      <c r="C93" s="25" t="inlineStr">
        <is>
          <t>Customs control and overrides</t>
        </is>
      </c>
      <c r="D93" s="26" t="inlineStr">
        <is>
          <t>Happy</t>
        </is>
      </c>
      <c r="E93" s="25" t="inlineStr">
        <is>
          <t>Place and clear a customs hold</t>
        </is>
      </c>
      <c r="F93" s="25" t="inlineStr">
        <is>
          <t>1. On SJ-2026-00120 click Place on hold / under inspection.
2. Choose Under Inspection, note Physical exam booked Wed, Place hold.
3. Open the jobs list, then the customer tracking page for the job.
4. Back on the job click Clear hold.</t>
        </is>
      </c>
      <c r="G93" s="25" t="inlineStr">
        <is>
          <t>Message "Under Inspection placed on SJ-2026-00120." A red box shows the note; the jobs list flags Under Inspection; the customer page shows "Customs inspection in progress". Clear hold gives "Hold cleared on SJ-2026-00120." and the flag disappears.</t>
        </is>
      </c>
      <c r="H93" s="27" t="inlineStr">
        <is>
          <t>Pass</t>
        </is>
      </c>
      <c r="I93" s="28" t="inlineStr">
        <is>
          <t>Claude (automated, Playwright)</t>
        </is>
      </c>
      <c r="J93" s="29" t="n">
        <v>46294</v>
      </c>
      <c r="K93" s="27" t="n"/>
      <c r="L93" s="28" t="inlineStr">
        <is>
          <t>Automated pass, 6 checks.</t>
        </is>
      </c>
    </row>
    <row r="94" ht="69" customHeight="1">
      <c r="A94" s="24" t="inlineStr">
        <is>
          <t>MGR-10</t>
        </is>
      </c>
      <c r="B94" s="25" t="inlineStr">
        <is>
          <t>Manager</t>
        </is>
      </c>
      <c r="C94" s="25" t="inlineStr">
        <is>
          <t>Customs control and overrides</t>
        </is>
      </c>
      <c r="D94" s="26" t="inlineStr">
        <is>
          <t>Happy</t>
        </is>
      </c>
      <c r="E94" s="25" t="inlineStr">
        <is>
          <t>Clear a hold, then move customs forward, choosing who pays</t>
        </is>
      </c>
      <c r="F94" s="25" t="inlineStr">
        <is>
          <t>1. On SJ-2026-00130 click Clear hold.
2. Advance customs stage to Assessment Pending.
3. Advance again toward Payment Pending.</t>
        </is>
      </c>
      <c r="G94" s="25" t="inlineStr">
        <is>
          <t>After the hold is cleared the panel is normal. On the second advance the panel asks "Waiting on" (Top1Movers or Client). Choose Client: the panel shows a warning "Waiting on Client: the client still needs to release funds or approve the assessment before Top1Movers can pay."</t>
        </is>
      </c>
      <c r="H94" s="27" t="inlineStr">
        <is>
          <t>Pass</t>
        </is>
      </c>
      <c r="I94" s="28" t="inlineStr">
        <is>
          <t>Claude (automated, Playwright)</t>
        </is>
      </c>
      <c r="J94" s="29" t="n">
        <v>46294</v>
      </c>
      <c r="K94" s="27" t="n"/>
      <c r="L94" s="28" t="inlineStr">
        <is>
          <t>Automated pass, 7 checks.</t>
        </is>
      </c>
    </row>
    <row r="95" ht="56" customHeight="1">
      <c r="A95" s="24" t="inlineStr">
        <is>
          <t>MGR-11</t>
        </is>
      </c>
      <c r="B95" s="25" t="inlineStr">
        <is>
          <t>Manager</t>
        </is>
      </c>
      <c r="C95" s="25" t="inlineStr">
        <is>
          <t>Customs control and overrides</t>
        </is>
      </c>
      <c r="D95" s="26" t="inlineStr">
        <is>
          <t>Happy</t>
        </is>
      </c>
      <c r="E95" s="25" t="inlineStr">
        <is>
          <t>Override the stage order with a reason</t>
        </is>
      </c>
      <c r="F95" s="25" t="inlineStr">
        <is>
          <t>1. Open SJ-2026-00110 (Booked), Update status.
2. Open Admin/Manager override, force to Sailed, reason Booked straight onto vessel.
3. Force change.</t>
        </is>
      </c>
      <c r="G95" s="25" t="inlineStr">
        <is>
          <t>Message "Overridden to Sailed." Job is now Sailed. History shows "Status override: Forced to Sailed. Reason: Booked straight onto vessel" by Grace Tan (Manager).</t>
        </is>
      </c>
      <c r="H95" s="27" t="inlineStr">
        <is>
          <t>Pass</t>
        </is>
      </c>
      <c r="I95" s="28" t="inlineStr">
        <is>
          <t>Claude (automated, Playwright)</t>
        </is>
      </c>
      <c r="J95" s="29" t="n">
        <v>46294</v>
      </c>
      <c r="K95" s="27" t="n"/>
      <c r="L95" s="28" t="inlineStr">
        <is>
          <t>Automated pass, 4 checks.</t>
        </is>
      </c>
    </row>
    <row r="96" ht="30" customHeight="1">
      <c r="A96" s="24" t="inlineStr">
        <is>
          <t>MGR-12</t>
        </is>
      </c>
      <c r="B96" s="25" t="inlineStr">
        <is>
          <t>Manager</t>
        </is>
      </c>
      <c r="C96" s="25" t="inlineStr">
        <is>
          <t>Customs control and overrides</t>
        </is>
      </c>
      <c r="D96" s="26" t="inlineStr">
        <is>
          <t>Wrong</t>
        </is>
      </c>
      <c r="E96" s="25" t="inlineStr">
        <is>
          <t>Override with no reason</t>
        </is>
      </c>
      <c r="F96" s="25" t="inlineStr">
        <is>
          <t>Repeat the override with the reason empty.</t>
        </is>
      </c>
      <c r="G96" s="25" t="inlineStr">
        <is>
          <t>Message "A reason is required for an override." (a message on the page, not a browser pop-up). The status does not change.</t>
        </is>
      </c>
      <c r="H96" s="27" t="inlineStr">
        <is>
          <t>Pass</t>
        </is>
      </c>
      <c r="I96" s="28" t="inlineStr">
        <is>
          <t>Claude (automated, Playwright)</t>
        </is>
      </c>
      <c r="J96" s="29" t="n">
        <v>46294</v>
      </c>
      <c r="K96" s="27" t="n"/>
      <c r="L96" s="28" t="inlineStr">
        <is>
          <t>Automated pass, 3 checks.</t>
        </is>
      </c>
    </row>
    <row r="97" ht="30" customHeight="1">
      <c r="A97" s="24" t="inlineStr">
        <is>
          <t>MGR-13</t>
        </is>
      </c>
      <c r="B97" s="25" t="inlineStr">
        <is>
          <t>Manager</t>
        </is>
      </c>
      <c r="C97" s="25" t="inlineStr">
        <is>
          <t>Customs control and overrides</t>
        </is>
      </c>
      <c r="D97" s="26" t="inlineStr">
        <is>
          <t>Access</t>
        </is>
      </c>
      <c r="E97" s="25" t="inlineStr">
        <is>
          <t>Only Manager and Admin see lane, hold and override controls</t>
        </is>
      </c>
      <c r="F97" s="25" t="inlineStr">
        <is>
          <t>Compare with DSP-30 and DSP-31.</t>
        </is>
      </c>
      <c r="G97" s="25" t="inlineStr">
        <is>
          <t>The Manager sees the lane selector, hold buttons and the override section that the Dispatcher did not.</t>
        </is>
      </c>
      <c r="H97" s="27" t="inlineStr">
        <is>
          <t>Pass</t>
        </is>
      </c>
      <c r="I97" s="28" t="inlineStr">
        <is>
          <t>Claude (automated, Playwright)</t>
        </is>
      </c>
      <c r="J97" s="29" t="n">
        <v>46294</v>
      </c>
      <c r="K97" s="27" t="n"/>
      <c r="L97" s="28" t="inlineStr">
        <is>
          <t>Automated pass, 3 checks.</t>
        </is>
      </c>
    </row>
    <row r="98" ht="56" customHeight="1">
      <c r="A98" s="24" t="inlineStr">
        <is>
          <t>MGR-14</t>
        </is>
      </c>
      <c r="B98" s="25" t="inlineStr">
        <is>
          <t>Manager</t>
        </is>
      </c>
      <c r="C98" s="25" t="inlineStr">
        <is>
          <t>Tasks and delivery</t>
        </is>
      </c>
      <c r="D98" s="26" t="inlineStr">
        <is>
          <t>Happy</t>
        </is>
      </c>
      <c r="E98" s="25" t="inlineStr">
        <is>
          <t>Read completed work and its proof</t>
        </is>
      </c>
      <c r="F98" s="25" t="inlineStr">
        <is>
          <t>Open SJ-2026-00101, Tasks tab. Click View evidence on "Verify shipment documents complete".</t>
        </is>
      </c>
      <c r="G98" s="25" t="inlineStr">
        <is>
          <t>Panel shows Completed by Ana Cruz, completed on 2026-09-10, file verify-shipment-documents-complete-evidence.pdf, note "No note provided." Tasks that need no proof (for example "Secure delivery order") show "No evidence required".</t>
        </is>
      </c>
      <c r="H98" s="27" t="inlineStr">
        <is>
          <t>Pass</t>
        </is>
      </c>
      <c r="I98" s="28" t="inlineStr">
        <is>
          <t>Claude (automated, Playwright)</t>
        </is>
      </c>
      <c r="J98" s="29" t="n">
        <v>46294</v>
      </c>
      <c r="K98" s="27" t="n"/>
      <c r="L98" s="28" t="inlineStr">
        <is>
          <t>Automated pass, 5 checks.</t>
        </is>
      </c>
    </row>
    <row r="99" ht="30" customHeight="1">
      <c r="A99" s="24" t="inlineStr">
        <is>
          <t>MGR-15</t>
        </is>
      </c>
      <c r="B99" s="25" t="inlineStr">
        <is>
          <t>Manager</t>
        </is>
      </c>
      <c r="C99" s="25" t="inlineStr">
        <is>
          <t>Tasks and delivery</t>
        </is>
      </c>
      <c r="D99" s="26" t="inlineStr">
        <is>
          <t>Happy</t>
        </is>
      </c>
      <c r="E99" s="25" t="inlineStr">
        <is>
          <t>Reassign any task</t>
        </is>
      </c>
      <c r="F99" s="25" t="inlineStr">
        <is>
          <t>Reassign SJ-2026-00095 "Verify shipment documents complete" to Ana Cruz, due 03 Oct 2026.</t>
        </is>
      </c>
      <c r="G99" s="25" t="inlineStr">
        <is>
          <t>Message "Reassigned to Ana Cruz." Row updates. Ana's My Tasks now includes it.</t>
        </is>
      </c>
      <c r="H99" s="27" t="inlineStr">
        <is>
          <t>Pass</t>
        </is>
      </c>
      <c r="I99" s="28" t="inlineStr">
        <is>
          <t>Claude (automated, Playwright)</t>
        </is>
      </c>
      <c r="J99" s="29" t="n">
        <v>46294</v>
      </c>
      <c r="K99" s="27" t="n"/>
      <c r="L99" s="28" t="inlineStr">
        <is>
          <t>Automated pass, 3 checks.</t>
        </is>
      </c>
    </row>
    <row r="100" ht="30" customHeight="1">
      <c r="A100" s="24" t="inlineStr">
        <is>
          <t>MGR-16</t>
        </is>
      </c>
      <c r="B100" s="25" t="inlineStr">
        <is>
          <t>Manager</t>
        </is>
      </c>
      <c r="C100" s="25" t="inlineStr">
        <is>
          <t>Tasks and delivery</t>
        </is>
      </c>
      <c r="D100" s="26" t="inlineStr">
        <is>
          <t>Happy</t>
        </is>
      </c>
      <c r="E100" s="25" t="inlineStr">
        <is>
          <t>View a confirmed delivery</t>
        </is>
      </c>
      <c r="F100" s="25" t="inlineStr">
        <is>
          <t>Open SJ-2026-00101, Delivery tab.</t>
        </is>
      </c>
      <c r="G100" s="25" t="inlineStr">
        <is>
          <t>Green "Delivered in full", date 20 Sep 2026, received by A. Reyes (Cebu Branch), proof POD-SJ-2026-00101.pdf marked Approved.</t>
        </is>
      </c>
      <c r="H100" s="27" t="inlineStr">
        <is>
          <t>Pass</t>
        </is>
      </c>
      <c r="I100" s="28" t="inlineStr">
        <is>
          <t>Claude (automated, Playwright)</t>
        </is>
      </c>
      <c r="J100" s="29" t="n">
        <v>46294</v>
      </c>
      <c r="K100" s="27" t="n"/>
      <c r="L100" s="28" t="inlineStr">
        <is>
          <t>Automated pass, 5 checks.</t>
        </is>
      </c>
    </row>
    <row r="101" ht="30" customHeight="1">
      <c r="A101" s="24" t="inlineStr">
        <is>
          <t>MGR-17</t>
        </is>
      </c>
      <c r="B101" s="25" t="inlineStr">
        <is>
          <t>Manager</t>
        </is>
      </c>
      <c r="C101" s="25" t="inlineStr">
        <is>
          <t>Tasks and delivery</t>
        </is>
      </c>
      <c r="D101" s="26" t="inlineStr">
        <is>
          <t>Wrong</t>
        </is>
      </c>
      <c r="E101" s="25" t="inlineStr">
        <is>
          <t>Delivery form is locked before the truck is out</t>
        </is>
      </c>
      <c r="F101" s="25" t="inlineStr">
        <is>
          <t>Open SJ-2026-00110, Delivery tab.</t>
        </is>
      </c>
      <c r="G101" s="25" t="inlineStr">
        <is>
          <t>"Not out for delivery yet" note and no form.</t>
        </is>
      </c>
      <c r="H101" s="27" t="inlineStr">
        <is>
          <t>Pass</t>
        </is>
      </c>
      <c r="I101" s="28" t="inlineStr">
        <is>
          <t>Claude (automated, Playwright)</t>
        </is>
      </c>
      <c r="J101" s="29" t="n">
        <v>46294</v>
      </c>
      <c r="K101" s="27" t="n"/>
      <c r="L101" s="28" t="inlineStr">
        <is>
          <t>Automated pass, 2 checks.</t>
        </is>
      </c>
    </row>
    <row r="102" ht="43" customHeight="1">
      <c r="A102" s="24" t="inlineStr">
        <is>
          <t>MGR-18</t>
        </is>
      </c>
      <c r="B102" s="25" t="inlineStr">
        <is>
          <t>Manager</t>
        </is>
      </c>
      <c r="C102" s="25" t="inlineStr">
        <is>
          <t>Tasks and delivery</t>
        </is>
      </c>
      <c r="D102" s="26" t="inlineStr">
        <is>
          <t>Wrong</t>
        </is>
      </c>
      <c r="E102" s="25" t="inlineStr">
        <is>
          <t>Delivered with damage blocks billing</t>
        </is>
      </c>
      <c r="F102" s="25" t="inlineStr">
        <is>
          <t>1. On SJ-2026-00077 Delivery, confirm delivery with receiver, a file, damage switched on and a description.
2. Open Charges.</t>
        </is>
      </c>
      <c r="G102" s="25" t="inlineStr">
        <is>
          <t>Delivery shows the red damage box. The billing checklist item "Delivery confirmed with POD" stays Pending (damage is not "in full"), so Mark Ready for Finance never appears for this job.</t>
        </is>
      </c>
      <c r="H102" s="27" t="inlineStr">
        <is>
          <t>Pass</t>
        </is>
      </c>
      <c r="I102" s="28" t="inlineStr">
        <is>
          <t>Claude (automated, Playwright)</t>
        </is>
      </c>
      <c r="J102" s="29" t="n">
        <v>46294</v>
      </c>
      <c r="K102" s="27" t="n"/>
      <c r="L102" s="28" t="inlineStr">
        <is>
          <t>Automated pass, 4 checks.</t>
        </is>
      </c>
    </row>
    <row r="103" ht="134" customHeight="1">
      <c r="A103" s="24" t="inlineStr">
        <is>
          <t>MGR-19</t>
        </is>
      </c>
      <c r="B103" s="25" t="inlineStr">
        <is>
          <t>Manager</t>
        </is>
      </c>
      <c r="C103" s="25" t="inlineStr">
        <is>
          <t>Client funds, charges and billing</t>
        </is>
      </c>
      <c r="D103" s="26" t="inlineStr">
        <is>
          <t>Happy</t>
        </is>
      </c>
      <c r="E103" s="25" t="inlineStr">
        <is>
          <t>Read a job that is short on funds</t>
        </is>
      </c>
      <c r="F103" s="25" t="inlineStr">
        <is>
          <t>Open SJ-2026-00120, Charges.</t>
        </is>
      </c>
      <c r="G103" s="25" t="inlineStr">
        <is>
          <t>Amber banner "Short on funds: Customs duty of ₱18,400.00 due 30 Sep. Funds on hand cover ₱10,000.00. Short by ₱8,400.00. Free storage ends in 2 days, so storage fees start in 2 days." The job header shows a Short on funds chip. Client funds: Money in ₱106,000.00, Money spent ₱96,000.00, Left over ₱10,000.00; meter at 91% in amber; note "The final balance is worked out after delivery." Ledger rows: 18 Sep +₱106,000.00 (deposit-slip.pdf, balance ₱106,000.00); 20 Sep −₱96,000.00 Ocean freight (freight-invoice.pdf, balance ₱10,000.00); 30 Sep "Customs duty (not paid yet)" with a Due in 2 days tag.</t>
        </is>
      </c>
      <c r="H103" s="27" t="inlineStr">
        <is>
          <t>Pass</t>
        </is>
      </c>
      <c r="I103" s="28" t="inlineStr">
        <is>
          <t>Claude (automated, Playwright)</t>
        </is>
      </c>
      <c r="J103" s="29" t="n">
        <v>46294</v>
      </c>
      <c r="K103" s="27" t="n"/>
      <c r="L103" s="28" t="inlineStr">
        <is>
          <t>Automated pass, 12 checks.</t>
        </is>
      </c>
    </row>
    <row r="104" ht="95" customHeight="1">
      <c r="A104" s="24" t="inlineStr">
        <is>
          <t>MGR-20</t>
        </is>
      </c>
      <c r="B104" s="25" t="inlineStr">
        <is>
          <t>Manager</t>
        </is>
      </c>
      <c r="C104" s="25" t="inlineStr">
        <is>
          <t>Client funds, charges and billing</t>
        </is>
      </c>
      <c r="D104" s="26" t="inlineStr">
        <is>
          <t>Happy</t>
        </is>
      </c>
      <c r="E104" s="25" t="inlineStr">
        <is>
          <t>Add funds and clear the warning</t>
        </is>
      </c>
      <c r="F104" s="25" t="inlineStr">
        <is>
          <t>1. Click Add funds received (banner or panel).
2. Date 28 Sep 2026, amount 10000, method Bank transfer, reference BT-999001, attach a deposit slip.
3. Save deposit.</t>
        </is>
      </c>
      <c r="G104" s="25" t="inlineStr">
        <is>
          <t>Message "₱10,000.00 added to client funds." Ledger shows the new deposit with your file name and reference. Left over becomes ₱20,000.00. The banner and the header chip disappear. On the Dashboard, "Jobs short on funds" now says "Every job has enough funds for its upcoming payments." and the card reads 0. The jobs list no longer flags the job. History shows "Funds received" by Grace Tan (Manager).</t>
        </is>
      </c>
      <c r="H104" s="27" t="inlineStr">
        <is>
          <t>Pass</t>
        </is>
      </c>
      <c r="I104" s="28" t="inlineStr">
        <is>
          <t>Claude (automated, Playwright)</t>
        </is>
      </c>
      <c r="J104" s="29" t="n">
        <v>46294</v>
      </c>
      <c r="K104" s="27" t="n"/>
      <c r="L104" s="28" t="inlineStr">
        <is>
          <t>Automated pass, 10 checks.</t>
        </is>
      </c>
    </row>
    <row r="105" ht="43" customHeight="1">
      <c r="A105" s="24" t="inlineStr">
        <is>
          <t>MGR-21</t>
        </is>
      </c>
      <c r="B105" s="25" t="inlineStr">
        <is>
          <t>Manager</t>
        </is>
      </c>
      <c r="C105" s="25" t="inlineStr">
        <is>
          <t>Client funds, charges and billing</t>
        </is>
      </c>
      <c r="D105" s="26" t="inlineStr">
        <is>
          <t>Wrong</t>
        </is>
      </c>
      <c r="E105" s="25" t="inlineStr">
        <is>
          <t>Bad deposit details</t>
        </is>
      </c>
      <c r="F105" s="25" t="inlineStr">
        <is>
          <t>Open Add funds received. Enter date nonsense and leave the amount empty, submit. Then enter date 28 Sep 2026 with amount 0 and submit.</t>
        </is>
      </c>
      <c r="G105" s="25" t="inlineStr">
        <is>
          <t>Errors under the fields: "Enter the date like 28 Sep 2026." and "Enter an amount greater than zero." Nothing is saved.</t>
        </is>
      </c>
      <c r="H105" s="27" t="inlineStr">
        <is>
          <t>Pass</t>
        </is>
      </c>
      <c r="I105" s="28" t="inlineStr">
        <is>
          <t>Claude (automated, Playwright)</t>
        </is>
      </c>
      <c r="J105" s="29" t="n">
        <v>46294</v>
      </c>
      <c r="K105" s="27" t="n"/>
      <c r="L105" s="28" t="inlineStr">
        <is>
          <t>Automated pass, 5 checks.</t>
        </is>
      </c>
    </row>
    <row r="106" ht="30" customHeight="1">
      <c r="A106" s="24" t="inlineStr">
        <is>
          <t>MGR-22</t>
        </is>
      </c>
      <c r="B106" s="25" t="inlineStr">
        <is>
          <t>Manager</t>
        </is>
      </c>
      <c r="C106" s="25" t="inlineStr">
        <is>
          <t>Client funds, charges and billing</t>
        </is>
      </c>
      <c r="D106" s="26" t="inlineStr">
        <is>
          <t>Edge</t>
        </is>
      </c>
      <c r="E106" s="25" t="inlineStr">
        <is>
          <t>Deposit that exactly covers the gap</t>
        </is>
      </c>
      <c r="F106" s="25" t="inlineStr">
        <is>
          <t>(Refresh first) On SJ-2026-00120 add exactly 8400.</t>
        </is>
      </c>
      <c r="G106" s="25" t="inlineStr">
        <is>
          <t>Left over ₱18,400.00 equals the duty, so the warning clears.</t>
        </is>
      </c>
      <c r="H106" s="27" t="inlineStr">
        <is>
          <t>Pass</t>
        </is>
      </c>
      <c r="I106" s="28" t="inlineStr">
        <is>
          <t>Claude (automated, Playwright)</t>
        </is>
      </c>
      <c r="J106" s="29" t="n">
        <v>46294</v>
      </c>
      <c r="K106" s="27" t="n"/>
      <c r="L106" s="28" t="inlineStr">
        <is>
          <t>Automated pass, 2 checks.</t>
        </is>
      </c>
    </row>
    <row r="107" ht="30" customHeight="1">
      <c r="A107" s="24" t="inlineStr">
        <is>
          <t>MGR-23</t>
        </is>
      </c>
      <c r="B107" s="25" t="inlineStr">
        <is>
          <t>Manager</t>
        </is>
      </c>
      <c r="C107" s="25" t="inlineStr">
        <is>
          <t>Client funds, charges and billing</t>
        </is>
      </c>
      <c r="D107" s="26" t="inlineStr">
        <is>
          <t>Edge</t>
        </is>
      </c>
      <c r="E107" s="25" t="inlineStr">
        <is>
          <t>Deposit that only partly covers the gap</t>
        </is>
      </c>
      <c r="F107" s="25" t="inlineStr">
        <is>
          <t>(Refresh first) Add 5000.</t>
        </is>
      </c>
      <c r="G107" s="25" t="inlineStr">
        <is>
          <t>Banner still shows, now "Funds on hand cover ₱15,000.00. Short by ₱3,400.00."</t>
        </is>
      </c>
      <c r="H107" s="27" t="inlineStr">
        <is>
          <t>Pass</t>
        </is>
      </c>
      <c r="I107" s="28" t="inlineStr">
        <is>
          <t>Claude (automated, Playwright)</t>
        </is>
      </c>
      <c r="J107" s="29" t="n">
        <v>46294</v>
      </c>
      <c r="K107" s="27" t="n"/>
      <c r="L107" s="28" t="inlineStr">
        <is>
          <t>Automated pass, 1 checks.</t>
        </is>
      </c>
    </row>
    <row r="108" ht="69" customHeight="1">
      <c r="A108" s="24" t="inlineStr">
        <is>
          <t>MGR-24</t>
        </is>
      </c>
      <c r="B108" s="25" t="inlineStr">
        <is>
          <t>Manager</t>
        </is>
      </c>
      <c r="C108" s="25" t="inlineStr">
        <is>
          <t>Client funds, charges and billing</t>
        </is>
      </c>
      <c r="D108" s="26" t="inlineStr">
        <is>
          <t>Happy</t>
        </is>
      </c>
      <c r="E108" s="25" t="inlineStr">
        <is>
          <t>A new payment creates a new gap</t>
        </is>
      </c>
      <c r="F108" s="25" t="inlineStr">
        <is>
          <t>(Refresh first) On SJ-2026-00088 Charges (empty state "No money recorded for this job yet"), Add charge: description Customs duty, category Duties &amp; Taxes, type Reimbursable, amount 20000, quoted Yes, payment Not paid yet, date 30 Sep 2026.</t>
        </is>
      </c>
      <c r="G108" s="25" t="inlineStr">
        <is>
          <t>Message "Charge added." Banner: "Customs duty of ₱20,000.00 due 30 Sep. Funds on hand cover ₱0.00. Short by ₱20,000.00." (no storage sentence, the job is still at sea). Header chip and the dashboard list now include SJ-2026-00088. Ledger "Coming up" row shows the duty.</t>
        </is>
      </c>
      <c r="H108" s="27" t="inlineStr">
        <is>
          <t>Pass</t>
        </is>
      </c>
      <c r="I108" s="28" t="inlineStr">
        <is>
          <t>Claude (automated, Playwright)</t>
        </is>
      </c>
      <c r="J108" s="29" t="n">
        <v>46294</v>
      </c>
      <c r="K108" s="27" t="n"/>
      <c r="L108" s="28" t="inlineStr">
        <is>
          <t>Automated pass, 7 checks.</t>
        </is>
      </c>
    </row>
    <row r="109" ht="30" customHeight="1">
      <c r="A109" s="24" t="inlineStr">
        <is>
          <t>MGR-25</t>
        </is>
      </c>
      <c r="B109" s="25" t="inlineStr">
        <is>
          <t>Manager</t>
        </is>
      </c>
      <c r="C109" s="25" t="inlineStr">
        <is>
          <t>Client funds, charges and billing</t>
        </is>
      </c>
      <c r="D109" s="26" t="inlineStr">
        <is>
          <t>Wrong</t>
        </is>
      </c>
      <c r="E109" s="25" t="inlineStr">
        <is>
          <t>Bad charge details</t>
        </is>
      </c>
      <c r="F109" s="25" t="inlineStr">
        <is>
          <t>In Add charge leave the amount empty, then enter a reimbursable charge with date tomorrow.</t>
        </is>
      </c>
      <c r="G109" s="25" t="inlineStr">
        <is>
          <t>"Enter an amount greater than zero." and "Enter the date like 28 Sep 2026." No charge is added.</t>
        </is>
      </c>
      <c r="H109" s="27" t="inlineStr">
        <is>
          <t>Pass</t>
        </is>
      </c>
      <c r="I109" s="28" t="inlineStr">
        <is>
          <t>Claude (automated, Playwright)</t>
        </is>
      </c>
      <c r="J109" s="29" t="n">
        <v>46294</v>
      </c>
      <c r="K109" s="27" t="n"/>
      <c r="L109" s="28" t="inlineStr">
        <is>
          <t>Automated pass, 3 checks.</t>
        </is>
      </c>
    </row>
    <row r="110" ht="56" customHeight="1">
      <c r="A110" s="24" t="inlineStr">
        <is>
          <t>MGR-26</t>
        </is>
      </c>
      <c r="B110" s="25" t="inlineStr">
        <is>
          <t>Manager</t>
        </is>
      </c>
      <c r="C110" s="25" t="inlineStr">
        <is>
          <t>Client funds, charges and billing</t>
        </is>
      </c>
      <c r="D110" s="26" t="inlineStr">
        <is>
          <t>Edge</t>
        </is>
      </c>
      <c r="E110" s="25" t="inlineStr">
        <is>
          <t>Our own service fee</t>
        </is>
      </c>
      <c r="F110" s="25" t="inlineStr">
        <is>
          <t>Add a charge, type Service fee, amount 3500, markup 9999.</t>
        </is>
      </c>
      <c r="G110" s="25" t="inlineStr">
        <is>
          <t>Row shows type "Service fee" and payment "Billed to client". Markup is ignored for service fees. Service fees total goes up by ₱3,500.00. It does not appear in the ledger (only pass-through costs do).</t>
        </is>
      </c>
      <c r="H110" s="27" t="inlineStr">
        <is>
          <t>Pass</t>
        </is>
      </c>
      <c r="I110" s="28" t="inlineStr">
        <is>
          <t>Claude (automated, Playwright)</t>
        </is>
      </c>
      <c r="J110" s="29" t="n">
        <v>46294</v>
      </c>
      <c r="K110" s="27" t="n"/>
      <c r="L110" s="28" t="inlineStr">
        <is>
          <t>Automated pass, 4 checks.</t>
        </is>
      </c>
    </row>
    <row r="111" ht="95" customHeight="1">
      <c r="A111" s="24" t="inlineStr">
        <is>
          <t>MGR-27</t>
        </is>
      </c>
      <c r="B111" s="25" t="inlineStr">
        <is>
          <t>Manager</t>
        </is>
      </c>
      <c r="C111" s="25" t="inlineStr">
        <is>
          <t>Client funds, charges and billing</t>
        </is>
      </c>
      <c r="D111" s="26" t="inlineStr">
        <is>
          <t>Happy</t>
        </is>
      </c>
      <c r="E111" s="25" t="inlineStr">
        <is>
          <t>Unquoted charge: client approves</t>
        </is>
      </c>
      <c r="F111" s="25" t="inlineStr">
        <is>
          <t>(Refresh first) Open SJ-2026-00070, Charges. Read, then click Client approved on "Extra storage fee".</t>
        </is>
      </c>
      <c r="G111" s="25" t="inlineStr">
        <is>
          <t>Before: a Needs client approval panel with "Extra storage fee, Not in quotation, ₱6,800.00, Paid 27 Sep". After: message "Extra storage fee marked client approved." The panel disappears and the charge shows a green Client approved tag with "Client approved by Grace Tan, 28 Sep 2026 ...". The checklist line "Extra charges resolved" turns Done. History shows "Extra charge approved by client" by Grace Tan (Manager).</t>
        </is>
      </c>
      <c r="H111" s="27" t="inlineStr">
        <is>
          <t>Pass</t>
        </is>
      </c>
      <c r="I111" s="28" t="inlineStr">
        <is>
          <t>Claude (automated, Playwright)</t>
        </is>
      </c>
      <c r="J111" s="29" t="n">
        <v>46294</v>
      </c>
      <c r="K111" s="27" t="n"/>
      <c r="L111" s="28" t="inlineStr">
        <is>
          <t>Automated pass, 7 checks.</t>
        </is>
      </c>
    </row>
    <row r="112" ht="82" customHeight="1">
      <c r="A112" s="24" t="inlineStr">
        <is>
          <t>MGR-28</t>
        </is>
      </c>
      <c r="B112" s="25" t="inlineStr">
        <is>
          <t>Manager</t>
        </is>
      </c>
      <c r="C112" s="25" t="inlineStr">
        <is>
          <t>Client funds, charges and billing</t>
        </is>
      </c>
      <c r="D112" s="26" t="inlineStr">
        <is>
          <t>Happy</t>
        </is>
      </c>
      <c r="E112" s="25" t="inlineStr">
        <is>
          <t>Unquoted charge: Top1Movers absorbs it (Refresh first)</t>
        </is>
      </c>
      <c r="F112" s="25" t="inlineStr">
        <is>
          <t>On SJ-2026-00070 click Absorb cost on "Extra storage fee", enter reason Caused by our late truck booking, Absorb cost.</t>
        </is>
      </c>
      <c r="G112" s="25" t="inlineStr">
        <is>
          <t>Message "Extra storage fee absorbed by Top1Movers." Money spent falls from ₱145,700.00 to ₱138,900.00. Final balance becomes Refund due to client: ₱17,600.00. Cost &amp; margin shows Margin −₱3,300.00 "after ₱6,800.00 absorbed". The charge row reads "Absorbed by Top1Movers" with the reason. History shows "Extra charge absorbed" with the reason.</t>
        </is>
      </c>
      <c r="H112" s="27" t="inlineStr">
        <is>
          <t>Pass</t>
        </is>
      </c>
      <c r="I112" s="28" t="inlineStr">
        <is>
          <t>Claude (automated, Playwright)</t>
        </is>
      </c>
      <c r="J112" s="29" t="n">
        <v>46294</v>
      </c>
      <c r="K112" s="27" t="n"/>
      <c r="L112" s="28" t="inlineStr">
        <is>
          <t>Automated pass, 9 checks.</t>
        </is>
      </c>
    </row>
    <row r="113" ht="30" customHeight="1">
      <c r="A113" s="24" t="inlineStr">
        <is>
          <t>MGR-29</t>
        </is>
      </c>
      <c r="B113" s="25" t="inlineStr">
        <is>
          <t>Manager</t>
        </is>
      </c>
      <c r="C113" s="25" t="inlineStr">
        <is>
          <t>Client funds, charges and billing</t>
        </is>
      </c>
      <c r="D113" s="26" t="inlineStr">
        <is>
          <t>Wrong</t>
        </is>
      </c>
      <c r="E113" s="25" t="inlineStr">
        <is>
          <t>Absorb with no reason</t>
        </is>
      </c>
      <c r="F113" s="25" t="inlineStr">
        <is>
          <t>Click Absorb cost, leave the reason empty, submit.</t>
        </is>
      </c>
      <c r="G113" s="25" t="inlineStr">
        <is>
          <t>"A reason is required to absorb a cost." Charge stays unresolved.</t>
        </is>
      </c>
      <c r="H113" s="27" t="inlineStr">
        <is>
          <t>Pass</t>
        </is>
      </c>
      <c r="I113" s="28" t="inlineStr">
        <is>
          <t>Claude (automated, Playwright)</t>
        </is>
      </c>
      <c r="J113" s="29" t="n">
        <v>46294</v>
      </c>
      <c r="K113" s="27" t="n"/>
      <c r="L113" s="28" t="inlineStr">
        <is>
          <t>Automated pass, 2 checks. Note: Needed a page refresh first: MGR-28 already absorbs the only unresolved charge, so there is nothing left to absorb on the same page load</t>
        </is>
      </c>
    </row>
    <row r="114" ht="82" customHeight="1">
      <c r="A114" s="24" t="inlineStr">
        <is>
          <t>MGR-30</t>
        </is>
      </c>
      <c r="B114" s="25" t="inlineStr">
        <is>
          <t>Manager</t>
        </is>
      </c>
      <c r="C114" s="25" t="inlineStr">
        <is>
          <t>Client funds, charges and billing</t>
        </is>
      </c>
      <c r="D114" s="26" t="inlineStr">
        <is>
          <t>Happy</t>
        </is>
      </c>
      <c r="E114" s="25" t="inlineStr">
        <is>
          <t>Full route to Billing Ready (Refresh first)</t>
        </is>
      </c>
      <c r="F114" s="25" t="inlineStr">
        <is>
          <t>On SJ-2026-00070: 1) Tasks: Complete "Return empty container". 2) Charges: click Client approved (MGR-27). 3) Read the checklist. 4) Click Mark Ready for Finance.</t>
        </is>
      </c>
      <c r="G114" s="25" t="inlineStr">
        <is>
          <t>Before step 4 the checklist shows all six lines Done and the pill Ready for Finance. Message "SJ-2026-00070 is billing ready — handed to Finance." Status becomes Billing Ready. A Billing Summary panel (with a "Mock document" tag) appears on the Charges tab and the Mark Ready button is gone. Dashboard Billing ready becomes 3.</t>
        </is>
      </c>
      <c r="H114" s="27" t="inlineStr">
        <is>
          <t>Pass</t>
        </is>
      </c>
      <c r="I114" s="28" t="inlineStr">
        <is>
          <t>Claude (automated, Playwright)</t>
        </is>
      </c>
      <c r="J114" s="29" t="n">
        <v>46294</v>
      </c>
      <c r="K114" s="27" t="n"/>
      <c r="L114" s="28" t="inlineStr">
        <is>
          <t>Automated pass, 9 checks.</t>
        </is>
      </c>
    </row>
    <row r="115" ht="30" customHeight="1">
      <c r="A115" s="24" t="inlineStr">
        <is>
          <t>MGR-31</t>
        </is>
      </c>
      <c r="B115" s="25" t="inlineStr">
        <is>
          <t>Manager</t>
        </is>
      </c>
      <c r="C115" s="25" t="inlineStr">
        <is>
          <t>Client funds, charges and billing</t>
        </is>
      </c>
      <c r="D115" s="26" t="inlineStr">
        <is>
          <t>Wrong</t>
        </is>
      </c>
      <c r="E115" s="25" t="inlineStr">
        <is>
          <t>Not ready until every checkpoint passes</t>
        </is>
      </c>
      <c r="F115" s="25" t="inlineStr">
        <is>
          <t>Open SJ-2026-00120 Charges, read the checklist.</t>
        </is>
      </c>
      <c r="G115" s="25" t="inlineStr">
        <is>
          <t>Pill "Not ready". "All milestones complete" and "Delivery confirmed with POD" are Pending. No Mark Ready for Finance button.</t>
        </is>
      </c>
      <c r="H115" s="27" t="inlineStr">
        <is>
          <t>Pass</t>
        </is>
      </c>
      <c r="I115" s="28" t="inlineStr">
        <is>
          <t>Claude (automated, Playwright)</t>
        </is>
      </c>
      <c r="J115" s="29" t="n">
        <v>46294</v>
      </c>
      <c r="K115" s="27" t="n"/>
      <c r="L115" s="28" t="inlineStr">
        <is>
          <t>Automated pass, 4 checks.</t>
        </is>
      </c>
    </row>
    <row r="116" ht="30" customHeight="1">
      <c r="A116" s="24" t="inlineStr">
        <is>
          <t>MGR-32</t>
        </is>
      </c>
      <c r="B116" s="25" t="inlineStr">
        <is>
          <t>Manager</t>
        </is>
      </c>
      <c r="C116" s="25" t="inlineStr">
        <is>
          <t>Client funds, charges and billing</t>
        </is>
      </c>
      <c r="D116" s="26" t="inlineStr">
        <is>
          <t>Happy</t>
        </is>
      </c>
      <c r="E116" s="25" t="inlineStr">
        <is>
          <t>Close a finished job</t>
        </is>
      </c>
      <c r="F116" s="25" t="inlineStr">
        <is>
          <t>Open SJ-2026-00060 (Billing Ready), Update status, confirm Closed.</t>
        </is>
      </c>
      <c r="G116" s="25" t="inlineStr">
        <is>
          <t>Status Closed; the Update status button no longer appears. The customer tracking page still reads Delivered.</t>
        </is>
      </c>
      <c r="H116" s="27" t="inlineStr">
        <is>
          <t>Pass</t>
        </is>
      </c>
      <c r="I116" s="28" t="inlineStr">
        <is>
          <t>Claude (automated, Playwright)</t>
        </is>
      </c>
      <c r="J116" s="29" t="n">
        <v>46294</v>
      </c>
      <c r="K116" s="27" t="n"/>
      <c r="L116" s="28" t="inlineStr">
        <is>
          <t>Automated pass, 4 checks.</t>
        </is>
      </c>
    </row>
    <row r="117" ht="30" customHeight="1">
      <c r="A117" s="24" t="inlineStr">
        <is>
          <t>MGR-33</t>
        </is>
      </c>
      <c r="B117" s="25" t="inlineStr">
        <is>
          <t>Manager</t>
        </is>
      </c>
      <c r="C117" s="25" t="inlineStr">
        <is>
          <t>Client funds, charges and billing</t>
        </is>
      </c>
      <c r="D117" s="26" t="inlineStr">
        <is>
          <t>Happy</t>
        </is>
      </c>
      <c r="E117" s="25" t="inlineStr">
        <is>
          <t>Regression of Dispatcher powers</t>
        </is>
      </c>
      <c r="F117" s="25" t="inlineStr">
        <is>
          <t>Repeat DSP-11, DSP-14, DSP-17 and DSP-40 to DSP-47 as Manager.</t>
        </is>
      </c>
      <c r="G117" s="25" t="inlineStr">
        <is>
          <t>Same results. (DSP-47 also shows the Review button for the Manager.)</t>
        </is>
      </c>
      <c r="H117" s="27" t="inlineStr">
        <is>
          <t>Pass</t>
        </is>
      </c>
      <c r="I117" s="28" t="inlineStr">
        <is>
          <t>Claude (automated, Playwright)</t>
        </is>
      </c>
      <c r="J117" s="29" t="n">
        <v>46294</v>
      </c>
      <c r="K117" s="27" t="n"/>
      <c r="L117" s="28" t="inlineStr">
        <is>
          <t>Automated pass, 58 checks. Note: Re-ran DSP-11, 14, 17, 40-47 as Manager</t>
        </is>
      </c>
    </row>
    <row r="118" ht="30" customHeight="1">
      <c r="A118" s="24" t="inlineStr">
        <is>
          <t>MGR-34</t>
        </is>
      </c>
      <c r="B118" s="25" t="inlineStr">
        <is>
          <t>Manager</t>
        </is>
      </c>
      <c r="C118" s="25" t="inlineStr">
        <is>
          <t>Client funds, charges and billing</t>
        </is>
      </c>
      <c r="D118" s="26" t="inlineStr">
        <is>
          <t>Access</t>
        </is>
      </c>
      <c r="E118" s="25" t="inlineStr">
        <is>
          <t>Users and Roles is closed</t>
        </is>
      </c>
      <c r="F118" s="25" t="inlineStr">
        <is>
          <t>Go to #/users.</t>
        </is>
      </c>
      <c r="G118" s="25" t="inlineStr">
        <is>
          <t>"Not available for Manager".</t>
        </is>
      </c>
      <c r="H118" s="27" t="inlineStr">
        <is>
          <t>Pass</t>
        </is>
      </c>
      <c r="I118" s="28" t="inlineStr">
        <is>
          <t>Claude (automated, Playwright)</t>
        </is>
      </c>
      <c r="J118" s="29" t="n">
        <v>46294</v>
      </c>
      <c r="K118" s="27" t="n"/>
      <c r="L118" s="28" t="inlineStr">
        <is>
          <t>Automated pass, 1 checks.</t>
        </is>
      </c>
    </row>
    <row r="119" ht="43" customHeight="1">
      <c r="A119" s="24" t="inlineStr">
        <is>
          <t>ADM-01</t>
        </is>
      </c>
      <c r="B119" s="25" t="inlineStr">
        <is>
          <t>Admin</t>
        </is>
      </c>
      <c r="C119" s="25" t="inlineStr">
        <is>
          <t>People and roles</t>
        </is>
      </c>
      <c r="D119" s="26" t="inlineStr">
        <is>
          <t>Access</t>
        </is>
      </c>
      <c r="E119" s="25" t="inlineStr">
        <is>
          <t>Admin sees every menu item</t>
        </is>
      </c>
      <c r="F119" s="25" t="inlineStr">
        <is>
          <t>Read the sidebar.</t>
        </is>
      </c>
      <c r="G119" s="25" t="inlineStr">
        <is>
          <t>My Tasks is absent (Admin is not a field role); Dashboard, Customers, Inquiries &amp; Quotations, Shipment Jobs, Users &amp; Roles, Audit Trail are present.</t>
        </is>
      </c>
      <c r="H119" s="27" t="inlineStr">
        <is>
          <t>Pass</t>
        </is>
      </c>
      <c r="I119" s="28" t="inlineStr">
        <is>
          <t>Claude (automated, Playwright)</t>
        </is>
      </c>
      <c r="J119" s="29" t="n">
        <v>46294</v>
      </c>
      <c r="K119" s="27" t="n"/>
      <c r="L119" s="28" t="inlineStr">
        <is>
          <t>Automated pass, 2 checks.</t>
        </is>
      </c>
    </row>
    <row r="120" ht="69" customHeight="1">
      <c r="A120" s="24" t="inlineStr">
        <is>
          <t>ADM-02</t>
        </is>
      </c>
      <c r="B120" s="25" t="inlineStr">
        <is>
          <t>Admin</t>
        </is>
      </c>
      <c r="C120" s="25" t="inlineStr">
        <is>
          <t>People and roles</t>
        </is>
      </c>
      <c r="D120" s="26" t="inlineStr">
        <is>
          <t>Happy</t>
        </is>
      </c>
      <c r="E120" s="25" t="inlineStr">
        <is>
          <t>Read the user list</t>
        </is>
      </c>
      <c r="F120" s="25" t="inlineStr">
        <is>
          <t>Open Users &amp; Roles.</t>
        </is>
      </c>
      <c r="G120" s="25" t="inlineStr">
        <is>
          <t>Seven people: Ana Cruz (Manila Ops, Dispatcher), Ben Santos (Warehouse, Warehouse Crew), Cathy Lim (Manila Ops, Dispatcher), Rico Domingo (Warehouse, Warehouse Crew), Grace Tan (Management, Manager), Paolo Reyes (Finance, Finance), Mark Villar (Management, Admin). All Active.</t>
        </is>
      </c>
      <c r="H120" s="27" t="inlineStr">
        <is>
          <t>Pass</t>
        </is>
      </c>
      <c r="I120" s="28" t="inlineStr">
        <is>
          <t>Claude (automated, Playwright)</t>
        </is>
      </c>
      <c r="J120" s="29" t="n">
        <v>46294</v>
      </c>
      <c r="K120" s="27" t="n"/>
      <c r="L120" s="28" t="inlineStr">
        <is>
          <t>Automated pass, 8 checks.</t>
        </is>
      </c>
    </row>
    <row r="121" ht="43" customHeight="1">
      <c r="A121" s="24" t="inlineStr">
        <is>
          <t>ADM-03</t>
        </is>
      </c>
      <c r="B121" s="25" t="inlineStr">
        <is>
          <t>Admin</t>
        </is>
      </c>
      <c r="C121" s="25" t="inlineStr">
        <is>
          <t>People and roles</t>
        </is>
      </c>
      <c r="D121" s="26" t="inlineStr">
        <is>
          <t>Happy</t>
        </is>
      </c>
      <c r="E121" s="25" t="inlineStr">
        <is>
          <t>Deactivate one person, the colleague covers</t>
        </is>
      </c>
      <c r="F121" s="25" t="inlineStr">
        <is>
          <t>1. Turn the switch off for Ben Santos.
2. Sign out and open the account picker.</t>
        </is>
      </c>
      <c r="G121" s="25" t="inlineStr">
        <is>
          <t>Message "Ben Santos is now inactive." and the switch label reads Inactive. The Warehouse Crew row now offers Rico Domingo and signing in as Warehouse Crew lands as Rico.</t>
        </is>
      </c>
      <c r="H121" s="27" t="inlineStr">
        <is>
          <t>Pass</t>
        </is>
      </c>
      <c r="I121" s="28" t="inlineStr">
        <is>
          <t>Claude (automated, Playwright)</t>
        </is>
      </c>
      <c r="J121" s="29" t="n">
        <v>46294</v>
      </c>
      <c r="K121" s="27" t="n"/>
      <c r="L121" s="28" t="inlineStr">
        <is>
          <t>Automated pass, 4 checks.</t>
        </is>
      </c>
    </row>
    <row r="122" ht="56" customHeight="1">
      <c r="A122" s="24" t="inlineStr">
        <is>
          <t>ADM-04</t>
        </is>
      </c>
      <c r="B122" s="25" t="inlineStr">
        <is>
          <t>Admin</t>
        </is>
      </c>
      <c r="C122" s="25" t="inlineStr">
        <is>
          <t>People and roles</t>
        </is>
      </c>
      <c r="D122" s="26" t="inlineStr">
        <is>
          <t>Wrong</t>
        </is>
      </c>
      <c r="E122" s="25" t="inlineStr">
        <is>
          <t>Deactivate everyone in a role</t>
        </is>
      </c>
      <c r="F122" s="25" t="inlineStr">
        <is>
          <t>1. Turn off both Ben Santos and Rico Domingo.
2. Sign out and open the account picker.
3. Click the Warehouse Crew row.</t>
        </is>
      </c>
      <c r="G122" s="25" t="inlineStr">
        <is>
          <t>The row is greyed out and reads "Warehouse Crew · Deactivated". It cannot be clicked. (If forced, the message is "That account is deactivated. Ask an Admin to reactivate it.") You cannot sign in as that role.</t>
        </is>
      </c>
      <c r="H122" s="27" t="inlineStr">
        <is>
          <t>Pass</t>
        </is>
      </c>
      <c r="I122" s="28" t="inlineStr">
        <is>
          <t>Claude (automated, Playwright)</t>
        </is>
      </c>
      <c r="J122" s="29" t="n">
        <v>46294</v>
      </c>
      <c r="K122" s="27" t="n"/>
      <c r="L122" s="28" t="inlineStr">
        <is>
          <t>Automated pass, 5 checks.</t>
        </is>
      </c>
    </row>
    <row r="123" ht="30" customHeight="1">
      <c r="A123" s="24" t="inlineStr">
        <is>
          <t>ADM-05</t>
        </is>
      </c>
      <c r="B123" s="25" t="inlineStr">
        <is>
          <t>Admin</t>
        </is>
      </c>
      <c r="C123" s="25" t="inlineStr">
        <is>
          <t>People and roles</t>
        </is>
      </c>
      <c r="D123" s="26" t="inlineStr">
        <is>
          <t>Happy</t>
        </is>
      </c>
      <c r="E123" s="25" t="inlineStr">
        <is>
          <t>Reactivate</t>
        </is>
      </c>
      <c r="F123" s="25" t="inlineStr">
        <is>
          <t>As Admin turn Rico Domingo back on. Sign out and check the picker.</t>
        </is>
      </c>
      <c r="G123" s="25" t="inlineStr">
        <is>
          <t>Message "Rico Domingo is now active." The Warehouse Crew row is clickable again.</t>
        </is>
      </c>
      <c r="H123" s="27" t="inlineStr">
        <is>
          <t>Pass</t>
        </is>
      </c>
      <c r="I123" s="28" t="inlineStr">
        <is>
          <t>Claude (automated, Playwright)</t>
        </is>
      </c>
      <c r="J123" s="29" t="n">
        <v>46294</v>
      </c>
      <c r="K123" s="27" t="n"/>
      <c r="L123" s="28" t="inlineStr">
        <is>
          <t>Automated pass, 3 checks.</t>
        </is>
      </c>
    </row>
    <row r="124" ht="30" customHeight="1">
      <c r="A124" s="24" t="inlineStr">
        <is>
          <t>ADM-06</t>
        </is>
      </c>
      <c r="B124" s="25" t="inlineStr">
        <is>
          <t>Admin</t>
        </is>
      </c>
      <c r="C124" s="25" t="inlineStr">
        <is>
          <t>People and roles</t>
        </is>
      </c>
      <c r="D124" s="26" t="inlineStr">
        <is>
          <t>Wrong</t>
        </is>
      </c>
      <c r="E124" s="25" t="inlineStr">
        <is>
          <t>Cannot deactivate the last Admin</t>
        </is>
      </c>
      <c r="F124" s="25" t="inlineStr">
        <is>
          <t>Turn off Mark Villar.</t>
        </is>
      </c>
      <c r="G124" s="25" t="inlineStr">
        <is>
          <t>Message "There must be at least one active Admin." The switch springs back to Active.</t>
        </is>
      </c>
      <c r="H124" s="27" t="inlineStr">
        <is>
          <t>Pass</t>
        </is>
      </c>
      <c r="I124" s="28" t="inlineStr">
        <is>
          <t>Claude (automated, Playwright)</t>
        </is>
      </c>
      <c r="J124" s="29" t="n">
        <v>46294</v>
      </c>
      <c r="K124" s="27" t="n"/>
      <c r="L124" s="28" t="inlineStr">
        <is>
          <t>Automated pass, 3 checks.</t>
        </is>
      </c>
    </row>
    <row r="125" ht="43" customHeight="1">
      <c r="A125" s="24" t="inlineStr">
        <is>
          <t>ADM-07</t>
        </is>
      </c>
      <c r="B125" s="25" t="inlineStr">
        <is>
          <t>Admin</t>
        </is>
      </c>
      <c r="C125" s="25" t="inlineStr">
        <is>
          <t>People and roles</t>
        </is>
      </c>
      <c r="D125" s="26" t="inlineStr">
        <is>
          <t>Edge</t>
        </is>
      </c>
      <c r="E125" s="25" t="inlineStr">
        <is>
          <t>Deactivating yourself</t>
        </is>
      </c>
      <c r="F125" s="25" t="inlineStr">
        <is>
          <t>1. Add user Tess Admin, role Admin.
2. Turn off Mark Villar (yourself).</t>
        </is>
      </c>
      <c r="G125" s="25" t="inlineStr">
        <is>
          <t>Message "You deactivated your own account, so you were signed out." You land on the sign-in screen. The Admin row in the picker now offers Tess Admin.</t>
        </is>
      </c>
      <c r="H125" s="27" t="inlineStr">
        <is>
          <t>Pass</t>
        </is>
      </c>
      <c r="I125" s="28" t="inlineStr">
        <is>
          <t>Claude (automated, Playwright)</t>
        </is>
      </c>
      <c r="J125" s="29" t="n">
        <v>46294</v>
      </c>
      <c r="K125" s="27" t="n"/>
      <c r="L125" s="28" t="inlineStr">
        <is>
          <t>Automated pass, 3 checks.</t>
        </is>
      </c>
    </row>
    <row r="126" ht="30" customHeight="1">
      <c r="A126" s="24" t="inlineStr">
        <is>
          <t>ADM-08</t>
        </is>
      </c>
      <c r="B126" s="25" t="inlineStr">
        <is>
          <t>Admin</t>
        </is>
      </c>
      <c r="C126" s="25" t="inlineStr">
        <is>
          <t>People and roles</t>
        </is>
      </c>
      <c r="D126" s="26" t="inlineStr">
        <is>
          <t>Happy</t>
        </is>
      </c>
      <c r="E126" s="25" t="inlineStr">
        <is>
          <t>Add a user</t>
        </is>
      </c>
      <c r="F126" s="25" t="inlineStr">
        <is>
          <t>Add user: name Nina Lopez, department Finance, role Finance.</t>
        </is>
      </c>
      <c r="G126" s="25" t="inlineStr">
        <is>
          <t>Message "Nina Lopez added." A new active row appears with that department and role.</t>
        </is>
      </c>
      <c r="H126" s="27" t="inlineStr">
        <is>
          <t>Pass</t>
        </is>
      </c>
      <c r="I126" s="28" t="inlineStr">
        <is>
          <t>Claude (automated, Playwright)</t>
        </is>
      </c>
      <c r="J126" s="29" t="n">
        <v>46294</v>
      </c>
      <c r="K126" s="27" t="n"/>
      <c r="L126" s="28" t="inlineStr">
        <is>
          <t>Automated pass, 2 checks. Note: Refreshed first: ADM-07 leaves the demo Admin (Mark Villar) deactivated, and ADM-15 expects "Mark Villar (Admin)"</t>
        </is>
      </c>
    </row>
    <row r="127" ht="30" customHeight="1">
      <c r="A127" s="24" t="inlineStr">
        <is>
          <t>ADM-09</t>
        </is>
      </c>
      <c r="B127" s="25" t="inlineStr">
        <is>
          <t>Admin</t>
        </is>
      </c>
      <c r="C127" s="25" t="inlineStr">
        <is>
          <t>People and roles</t>
        </is>
      </c>
      <c r="D127" s="26" t="inlineStr">
        <is>
          <t>Wrong</t>
        </is>
      </c>
      <c r="E127" s="25" t="inlineStr">
        <is>
          <t>Add a user with bad details</t>
        </is>
      </c>
      <c r="F127" s="25" t="inlineStr">
        <is>
          <t>1. Submit with the name empty.
2. Enter grace tan (any capitals) and submit.</t>
        </is>
      </c>
      <c r="G127" s="25" t="inlineStr">
        <is>
          <t>"Enter the user's name." then "grace tan already exists." (duplicates are caught regardless of capitals). No user added.</t>
        </is>
      </c>
      <c r="H127" s="27" t="inlineStr">
        <is>
          <t>Pass</t>
        </is>
      </c>
      <c r="I127" s="28" t="inlineStr">
        <is>
          <t>Claude (automated, Playwright)</t>
        </is>
      </c>
      <c r="J127" s="29" t="n">
        <v>46294</v>
      </c>
      <c r="K127" s="27" t="n"/>
      <c r="L127" s="28" t="inlineStr">
        <is>
          <t>Automated pass, 3 checks.</t>
        </is>
      </c>
    </row>
    <row r="128" ht="95" customHeight="1">
      <c r="A128" s="24" t="inlineStr">
        <is>
          <t>ADM-10</t>
        </is>
      </c>
      <c r="B128" s="25" t="inlineStr">
        <is>
          <t>Admin</t>
        </is>
      </c>
      <c r="C128" s="25" t="inlineStr">
        <is>
          <t>People and roles</t>
        </is>
      </c>
      <c r="D128" s="26" t="inlineStr">
        <is>
          <t>Access</t>
        </is>
      </c>
      <c r="E128" s="25" t="inlineStr">
        <is>
          <t>The permission matrix matches the rules</t>
        </is>
      </c>
      <c r="F128" s="25" t="inlineStr">
        <is>
          <t>Read Permission matrix (11 modules by 5 roles, tagged "Illustrative").</t>
        </is>
      </c>
      <c r="G128" s="25" t="inlineStr">
        <is>
          <t>Ticks exactly as in section 3.2: Dispatcher = Customer Mgmt, Inquiry &amp; Quotation, Shipment Job, Milestones &amp; Tasks, Document Mgmt, Exceptions &amp; Approval, Dashboard &amp; Reports. Warehouse Crew = Shipment Job, Milestones &amp; Tasks, Document Mgmt, Exceptions &amp; Approval, Delivery &amp; POD. Manager = all except User &amp; Role Mgmt. Admin = all. Finance = Shipment Job, Charges &amp; Billing, Dashboard &amp; Reports, Audit Trail.</t>
        </is>
      </c>
      <c r="H128" s="27" t="inlineStr">
        <is>
          <t>Pass</t>
        </is>
      </c>
      <c r="I128" s="28" t="inlineStr">
        <is>
          <t>Claude (automated, Playwright)</t>
        </is>
      </c>
      <c r="J128" s="29" t="n">
        <v>46294</v>
      </c>
      <c r="K128" s="27" t="n"/>
      <c r="L128" s="28" t="inlineStr">
        <is>
          <t>Automated pass, 8 checks.</t>
        </is>
      </c>
    </row>
    <row r="129" ht="43" customHeight="1">
      <c r="A129" s="24" t="inlineStr">
        <is>
          <t>ADM-11</t>
        </is>
      </c>
      <c r="B129" s="25" t="inlineStr">
        <is>
          <t>Admin</t>
        </is>
      </c>
      <c r="C129" s="25" t="inlineStr">
        <is>
          <t>Audit trail</t>
        </is>
      </c>
      <c r="D129" s="26" t="inlineStr">
        <is>
          <t>Happy</t>
        </is>
      </c>
      <c r="E129" s="25" t="inlineStr">
        <is>
          <t>Presets</t>
        </is>
      </c>
      <c r="F129" s="25" t="inlineStr">
        <is>
          <t>Open Audit Trail. Open the date picker and click each preset.</t>
        </is>
      </c>
      <c r="G129" s="25" t="inlineStr">
        <is>
          <t>All time 66, Today 1 (SJ-2026-00101 Billing ready, by System), Last 7 days 18, Last 30 days 64, This month 62. The header line says "N events in range." and the button label shows the range.</t>
        </is>
      </c>
      <c r="H129" s="27" t="inlineStr">
        <is>
          <t>Pass</t>
        </is>
      </c>
      <c r="I129" s="28" t="inlineStr">
        <is>
          <t>Claude (automated, Playwright)</t>
        </is>
      </c>
      <c r="J129" s="29" t="n">
        <v>46294</v>
      </c>
      <c r="K129" s="27" t="n"/>
      <c r="L129" s="28" t="inlineStr">
        <is>
          <t>Automated pass, 9 checks.</t>
        </is>
      </c>
    </row>
    <row r="130" ht="43" customHeight="1">
      <c r="A130" s="24" t="inlineStr">
        <is>
          <t>ADM-12</t>
        </is>
      </c>
      <c r="B130" s="25" t="inlineStr">
        <is>
          <t>Admin</t>
        </is>
      </c>
      <c r="C130" s="25" t="inlineStr">
        <is>
          <t>Audit trail</t>
        </is>
      </c>
      <c r="D130" s="26" t="inlineStr">
        <is>
          <t>Happy</t>
        </is>
      </c>
      <c r="E130" s="25" t="inlineStr">
        <is>
          <t>Custom date range</t>
        </is>
      </c>
      <c r="F130" s="25" t="inlineStr">
        <is>
          <t>1. Open the picker, stay on September 2026.
2. Click 10, then 12.
3. Click Done.</t>
        </is>
      </c>
      <c r="G130" s="25" t="inlineStr">
        <is>
          <t>Label "Sep 10, 2026 – Sep 12, 2026" and 9 events in range. Days between the two clicks are highlighted. Clear returns to All time.</t>
        </is>
      </c>
      <c r="H130" s="27" t="inlineStr">
        <is>
          <t>Pass</t>
        </is>
      </c>
      <c r="I130" s="28" t="inlineStr">
        <is>
          <t>Claude (automated, Playwright)</t>
        </is>
      </c>
      <c r="J130" s="29" t="n">
        <v>46294</v>
      </c>
      <c r="K130" s="27" t="n"/>
      <c r="L130" s="28" t="inlineStr">
        <is>
          <t>Automated pass, 5 checks.</t>
        </is>
      </c>
    </row>
    <row r="131" ht="30" customHeight="1">
      <c r="A131" s="24" t="inlineStr">
        <is>
          <t>ADM-13</t>
        </is>
      </c>
      <c r="B131" s="25" t="inlineStr">
        <is>
          <t>Admin</t>
        </is>
      </c>
      <c r="C131" s="25" t="inlineStr">
        <is>
          <t>Audit trail</t>
        </is>
      </c>
      <c r="D131" s="26" t="inlineStr">
        <is>
          <t>Wrong</t>
        </is>
      </c>
      <c r="E131" s="25" t="inlineStr">
        <is>
          <t>Range with no events</t>
        </is>
      </c>
      <c r="F131" s="25" t="inlineStr">
        <is>
          <t>Pick 29 then 30 September.</t>
        </is>
      </c>
      <c r="G131" s="25" t="inlineStr">
        <is>
          <t>Table says "No audit events in this range." and the header says "0 events in range."</t>
        </is>
      </c>
      <c r="H131" s="27" t="inlineStr">
        <is>
          <t>Pass</t>
        </is>
      </c>
      <c r="I131" s="28" t="inlineStr">
        <is>
          <t>Claude (automated, Playwright)</t>
        </is>
      </c>
      <c r="J131" s="29" t="n">
        <v>46294</v>
      </c>
      <c r="K131" s="27" t="n"/>
      <c r="L131" s="28" t="inlineStr">
        <is>
          <t>Automated pass, 2 checks.</t>
        </is>
      </c>
    </row>
    <row r="132" ht="30" customHeight="1">
      <c r="A132" s="24" t="inlineStr">
        <is>
          <t>ADM-14</t>
        </is>
      </c>
      <c r="B132" s="25" t="inlineStr">
        <is>
          <t>Admin</t>
        </is>
      </c>
      <c r="C132" s="25" t="inlineStr">
        <is>
          <t>Audit trail</t>
        </is>
      </c>
      <c r="D132" s="26" t="inlineStr">
        <is>
          <t>Edge</t>
        </is>
      </c>
      <c r="E132" s="25" t="inlineStr">
        <is>
          <t>Paging</t>
        </is>
      </c>
      <c r="F132" s="25" t="inlineStr">
        <is>
          <t>On All time, read the pager. Click Next, then Previous.</t>
        </is>
      </c>
      <c r="G132" s="25" t="inlineStr">
        <is>
          <t>"Page 1 of 3" with 25 rows per page. Previous is disabled on page 1, Next is disabled on page 3.</t>
        </is>
      </c>
      <c r="H132" s="27" t="inlineStr">
        <is>
          <t>Pass</t>
        </is>
      </c>
      <c r="I132" s="28" t="inlineStr">
        <is>
          <t>Claude (automated, Playwright)</t>
        </is>
      </c>
      <c r="J132" s="29" t="n">
        <v>46294</v>
      </c>
      <c r="K132" s="27" t="n"/>
      <c r="L132" s="28" t="inlineStr">
        <is>
          <t>Automated pass, 8 checks.</t>
        </is>
      </c>
    </row>
    <row r="133" ht="43" customHeight="1">
      <c r="A133" s="24" t="inlineStr">
        <is>
          <t>ADM-15</t>
        </is>
      </c>
      <c r="B133" s="25" t="inlineStr">
        <is>
          <t>Admin</t>
        </is>
      </c>
      <c r="C133" s="25" t="inlineStr">
        <is>
          <t>Audit trail</t>
        </is>
      </c>
      <c r="D133" s="26" t="inlineStr">
        <is>
          <t>Happy</t>
        </is>
      </c>
      <c r="E133" s="25" t="inlineStr">
        <is>
          <t>The log records the real person</t>
        </is>
      </c>
      <c r="F133" s="25" t="inlineStr">
        <is>
          <t>1. Move SJ-2026-00088 to Arrived at Port.
2. Open Audit Trail (All time) and make sure you are on page 1 (the page number is remembered while you stay signed in).</t>
        </is>
      </c>
      <c r="G133" s="25" t="inlineStr">
        <is>
          <t>The top row is "Status changed" for SJ-2026-00088 with actor "Mark Villar (Admin)". Newest entries come first. Entries show timestamp, actor, action, entity and detail.</t>
        </is>
      </c>
      <c r="H133" s="27" t="inlineStr">
        <is>
          <t>Pass</t>
        </is>
      </c>
      <c r="I133" s="28" t="inlineStr">
        <is>
          <t>Claude (automated, Playwright)</t>
        </is>
      </c>
      <c r="J133" s="29" t="n">
        <v>46294</v>
      </c>
      <c r="K133" s="27" t="n"/>
      <c r="L133" s="28" t="inlineStr">
        <is>
          <t>Automated pass, 2 checks.</t>
        </is>
      </c>
    </row>
    <row r="134" ht="30" customHeight="1">
      <c r="A134" s="24" t="inlineStr">
        <is>
          <t>ADM-16</t>
        </is>
      </c>
      <c r="B134" s="25" t="inlineStr">
        <is>
          <t>Admin</t>
        </is>
      </c>
      <c r="C134" s="25" t="inlineStr">
        <is>
          <t>Audit trail</t>
        </is>
      </c>
      <c r="D134" s="26" t="inlineStr">
        <is>
          <t>Happy</t>
        </is>
      </c>
      <c r="E134" s="25" t="inlineStr">
        <is>
          <t>Admin regression of Manager powers</t>
        </is>
      </c>
      <c r="F134" s="25" t="inlineStr">
        <is>
          <t>Repeat MGR-05, MGR-11, MGR-20, MGR-28, MGR-30 and MGR-32 as Admin.</t>
        </is>
      </c>
      <c r="G134" s="25" t="inlineStr">
        <is>
          <t>Same results, with audit actor "Mark Villar (Admin)".</t>
        </is>
      </c>
      <c r="H134" s="27" t="inlineStr">
        <is>
          <t>Pass</t>
        </is>
      </c>
      <c r="I134" s="28" t="inlineStr">
        <is>
          <t>Claude (automated, Playwright)</t>
        </is>
      </c>
      <c r="J134" s="29" t="n">
        <v>46294</v>
      </c>
      <c r="K134" s="27" t="n"/>
      <c r="L134" s="28" t="inlineStr">
        <is>
          <t>Automated pass, 45 checks. Note: Re-ran MGR-05, 11, 20, 28, 30, 32 as Admin; audit actor checked as "Mark Villar (Admin)"</t>
        </is>
      </c>
    </row>
    <row r="135" ht="30" customHeight="1">
      <c r="A135" s="24" t="inlineStr">
        <is>
          <t>FIN-01</t>
        </is>
      </c>
      <c r="B135" s="25" t="inlineStr">
        <is>
          <t>Finance</t>
        </is>
      </c>
      <c r="C135" s="25" t="inlineStr">
        <is>
          <t>Access and read-only behaviour</t>
        </is>
      </c>
      <c r="D135" s="26" t="inlineStr">
        <is>
          <t>Access</t>
        </is>
      </c>
      <c r="E135" s="25" t="inlineStr">
        <is>
          <t>Menu and tabs</t>
        </is>
      </c>
      <c r="F135" s="25" t="inlineStr">
        <is>
          <t>Read the sidebar, then open any job.</t>
        </is>
      </c>
      <c r="G135" s="25" t="inlineStr">
        <is>
          <t>Sidebar: Dashboard, Shipment Jobs, Audit Trail. Job tabs: Overview and Charges only.</t>
        </is>
      </c>
      <c r="H135" s="27" t="inlineStr">
        <is>
          <t>Pass</t>
        </is>
      </c>
      <c r="I135" s="28" t="inlineStr">
        <is>
          <t>Claude (automated, Playwright)</t>
        </is>
      </c>
      <c r="J135" s="29" t="n">
        <v>46294</v>
      </c>
      <c r="K135" s="27" t="n"/>
      <c r="L135" s="28" t="inlineStr">
        <is>
          <t>Automated pass, 2 checks.</t>
        </is>
      </c>
    </row>
    <row r="136" ht="43" customHeight="1">
      <c r="A136" s="24" t="inlineStr">
        <is>
          <t>FIN-02</t>
        </is>
      </c>
      <c r="B136" s="25" t="inlineStr">
        <is>
          <t>Finance</t>
        </is>
      </c>
      <c r="C136" s="25" t="inlineStr">
        <is>
          <t>Access and read-only behaviour</t>
        </is>
      </c>
      <c r="D136" s="26" t="inlineStr">
        <is>
          <t>Access</t>
        </is>
      </c>
      <c r="E136" s="25" t="inlineStr">
        <is>
          <t>Nothing can be changed</t>
        </is>
      </c>
      <c r="F136" s="25" t="inlineStr">
        <is>
          <t>1. Open SJ-2026-00120 (Overview).
2. Open its Charges tab.</t>
        </is>
      </c>
      <c r="G136" s="25" t="inlineStr">
        <is>
          <t>Overview has no Update status button and no Advance customs stage button. Charges shows "View only" beside Client funds and has no Add funds received, Add charge, or Mark Ready buttons.</t>
        </is>
      </c>
      <c r="H136" s="27" t="inlineStr">
        <is>
          <t>Pass</t>
        </is>
      </c>
      <c r="I136" s="28" t="inlineStr">
        <is>
          <t>Claude (automated, Playwright)</t>
        </is>
      </c>
      <c r="J136" s="29" t="n">
        <v>46294</v>
      </c>
      <c r="K136" s="27" t="n"/>
      <c r="L136" s="28" t="inlineStr">
        <is>
          <t>Automated pass, 6 checks.</t>
        </is>
      </c>
    </row>
    <row r="137" ht="30" customHeight="1">
      <c r="A137" s="24" t="inlineStr">
        <is>
          <t>FIN-03</t>
        </is>
      </c>
      <c r="B137" s="25" t="inlineStr">
        <is>
          <t>Finance</t>
        </is>
      </c>
      <c r="C137" s="25" t="inlineStr">
        <is>
          <t>Access and read-only behaviour</t>
        </is>
      </c>
      <c r="D137" s="26" t="inlineStr">
        <is>
          <t>Access</t>
        </is>
      </c>
      <c r="E137" s="25" t="inlineStr">
        <is>
          <t>Unquoted charge shows who must act</t>
        </is>
      </c>
      <c r="F137" s="25" t="inlineStr">
        <is>
          <t>Open SJ-2026-00070 Charges.</t>
        </is>
      </c>
      <c r="G137" s="25" t="inlineStr">
        <is>
          <t>In "Needs client approval" the action cell reads "Waiting on a Manager or Admin" with no buttons.</t>
        </is>
      </c>
      <c r="H137" s="27" t="inlineStr">
        <is>
          <t>Pass</t>
        </is>
      </c>
      <c r="I137" s="28" t="inlineStr">
        <is>
          <t>Claude (automated, Playwright)</t>
        </is>
      </c>
      <c r="J137" s="29" t="n">
        <v>46294</v>
      </c>
      <c r="K137" s="27" t="n"/>
      <c r="L137" s="28" t="inlineStr">
        <is>
          <t>Automated pass, 2 checks.</t>
        </is>
      </c>
    </row>
    <row r="138" ht="30" customHeight="1">
      <c r="A138" s="24" t="inlineStr">
        <is>
          <t>FIN-04</t>
        </is>
      </c>
      <c r="B138" s="25" t="inlineStr">
        <is>
          <t>Finance</t>
        </is>
      </c>
      <c r="C138" s="25" t="inlineStr">
        <is>
          <t>Access and read-only behaviour</t>
        </is>
      </c>
      <c r="D138" s="26" t="inlineStr">
        <is>
          <t>Wrong</t>
        </is>
      </c>
      <c r="E138" s="25" t="inlineStr">
        <is>
          <t>Other areas are closed</t>
        </is>
      </c>
      <c r="F138" s="25" t="inlineStr">
        <is>
          <t>Go to #/customers, #/users, #/inquiries, then #/jobs/SJ-2026-00120/tasks.</t>
        </is>
      </c>
      <c r="G138" s="25" t="inlineStr">
        <is>
          <t>The first three say "Not available for Finance". The last just shows the Overview.</t>
        </is>
      </c>
      <c r="H138" s="27" t="inlineStr">
        <is>
          <t>Pass</t>
        </is>
      </c>
      <c r="I138" s="28" t="inlineStr">
        <is>
          <t>Claude (automated, Playwright)</t>
        </is>
      </c>
      <c r="J138" s="29" t="n">
        <v>46294</v>
      </c>
      <c r="K138" s="27" t="n"/>
      <c r="L138" s="28" t="inlineStr">
        <is>
          <t>Automated pass, 5 checks.</t>
        </is>
      </c>
    </row>
    <row r="139" ht="30" customHeight="1">
      <c r="A139" s="24" t="inlineStr">
        <is>
          <t>FIN-05</t>
        </is>
      </c>
      <c r="B139" s="25" t="inlineStr">
        <is>
          <t>Finance</t>
        </is>
      </c>
      <c r="C139" s="25" t="inlineStr">
        <is>
          <t>Access and read-only behaviour</t>
        </is>
      </c>
      <c r="D139" s="26" t="inlineStr">
        <is>
          <t>Access</t>
        </is>
      </c>
      <c r="E139" s="25" t="inlineStr">
        <is>
          <t>Search and menus</t>
        </is>
      </c>
      <c r="F139" s="25" t="inlineStr">
        <is>
          <t>1. Press Ctrl+K, type sample.
2. On the jobs list click ⋮ on a row.</t>
        </is>
      </c>
      <c r="G139" s="25" t="inlineStr">
        <is>
          <t>Search lists jobs only, no customers. The row menu offers only Open charges.</t>
        </is>
      </c>
      <c r="H139" s="27" t="inlineStr">
        <is>
          <t>Pass</t>
        </is>
      </c>
      <c r="I139" s="28" t="inlineStr">
        <is>
          <t>Claude (automated, Playwright)</t>
        </is>
      </c>
      <c r="J139" s="29" t="n">
        <v>46294</v>
      </c>
      <c r="K139" s="27" t="n"/>
      <c r="L139" s="28" t="inlineStr">
        <is>
          <t>Automated pass, 2 checks.</t>
        </is>
      </c>
    </row>
    <row r="140" ht="43" customHeight="1">
      <c r="A140" s="24" t="inlineStr">
        <is>
          <t>FIN-06</t>
        </is>
      </c>
      <c r="B140" s="25" t="inlineStr">
        <is>
          <t>Finance</t>
        </is>
      </c>
      <c r="C140" s="25" t="inlineStr">
        <is>
          <t>Access and read-only behaviour</t>
        </is>
      </c>
      <c r="D140" s="26" t="inlineStr">
        <is>
          <t>Happy</t>
        </is>
      </c>
      <c r="E140" s="25" t="inlineStr">
        <is>
          <t>Dashboard for Finance</t>
        </is>
      </c>
      <c r="F140" s="25" t="inlineStr">
        <is>
          <t>Open Dashboard.</t>
        </is>
      </c>
      <c r="G140" s="25" t="inlineStr">
        <is>
          <t>Same six cards as the Manager (Active jobs 11 ... Jobs short on funds 1) and the same panels including Cost &amp; margin and Jobs short on funds.</t>
        </is>
      </c>
      <c r="H140" s="27" t="inlineStr">
        <is>
          <t>Pass</t>
        </is>
      </c>
      <c r="I140" s="28" t="inlineStr">
        <is>
          <t>Claude (automated, Playwright)</t>
        </is>
      </c>
      <c r="J140" s="29" t="n">
        <v>46294</v>
      </c>
      <c r="K140" s="27" t="n"/>
      <c r="L140" s="28" t="inlineStr">
        <is>
          <t>Automated pass, 7 checks.</t>
        </is>
      </c>
    </row>
    <row r="141" ht="121" customHeight="1">
      <c r="A141" s="24" t="inlineStr">
        <is>
          <t>FIN-07</t>
        </is>
      </c>
      <c r="B141" s="25" t="inlineStr">
        <is>
          <t>Finance</t>
        </is>
      </c>
      <c r="C141" s="25" t="inlineStr">
        <is>
          <t>The five money scenarios</t>
        </is>
      </c>
      <c r="D141" s="26" t="inlineStr">
        <is>
          <t>Happy</t>
        </is>
      </c>
      <c r="E141" s="25" t="inlineStr">
        <is>
          <t>Refund due: SJ-2026-00060</t>
        </is>
      </c>
      <c r="F141" s="25" t="inlineStr">
        <is>
          <t>Open its Charges tab.</t>
        </is>
      </c>
      <c r="G141" s="25" t="inlineStr">
        <is>
          <t>Money in ₱175,000.00, Money spent ₱150,400.00, Left over ₱24,600.00. Final balance (blue): "Refund due to client: ₱16,100.00. Money in ₱175,000.00, less money spent ₱150,400.00 and our fees ₱8,500.00 (service fees ₱3,500.00 + markup ₱5,000.00)." Ledger in date order with running balance: 08 Sep +₱100,000.00 (₱100,000.00), 11 Sep +₱75,000.00 (₱175,000.00), 12 Sep −₱132,000.00 Ocean freight (₱43,000.00), 15 Sep −₱18,400.00 Customs duty (₱24,600.00). In Charges &amp; expenses the Ocean freight line reads "(+₱5,000.00 markup)". No warning banner.</t>
        </is>
      </c>
      <c r="H141" s="27" t="inlineStr">
        <is>
          <t>Pass</t>
        </is>
      </c>
      <c r="I141" s="28" t="inlineStr">
        <is>
          <t>Claude (automated, Playwright)</t>
        </is>
      </c>
      <c r="J141" s="29" t="n">
        <v>46294</v>
      </c>
      <c r="K141" s="27" t="n"/>
      <c r="L141" s="28" t="inlineStr">
        <is>
          <t>Automated pass, 13 checks.</t>
        </is>
      </c>
    </row>
    <row r="142" ht="82" customHeight="1">
      <c r="A142" s="24" t="inlineStr">
        <is>
          <t>FIN-08</t>
        </is>
      </c>
      <c r="B142" s="25" t="inlineStr">
        <is>
          <t>Finance</t>
        </is>
      </c>
      <c r="C142" s="25" t="inlineStr">
        <is>
          <t>The five money scenarios</t>
        </is>
      </c>
      <c r="D142" s="26" t="inlineStr">
        <is>
          <t>Happy</t>
        </is>
      </c>
      <c r="E142" s="25" t="inlineStr">
        <is>
          <t>Balance owed: SJ-2026-00101</t>
        </is>
      </c>
      <c r="F142" s="25" t="inlineStr">
        <is>
          <t>Open Charges.</t>
        </is>
      </c>
      <c r="G142" s="25" t="inlineStr">
        <is>
          <t>Money in ₱140,000.00, Money spent ₱150,400.00, Left over −₱10,400.00 (red) with "Top1Movers has advanced ₱10,400.00". Final balance (amber): "Balance to bill client: ₱13,900.00". Ledger balances: ₱135,000.00, ₱3,000.00, ₱8,000.00, then −₱10,400.00. Charges total ₱153,900.00 and quoted amount ₱174,500.00 with pill "Within quote".</t>
        </is>
      </c>
      <c r="H142" s="27" t="inlineStr">
        <is>
          <t>Pass</t>
        </is>
      </c>
      <c r="I142" s="28" t="inlineStr">
        <is>
          <t>Claude (automated, Playwright)</t>
        </is>
      </c>
      <c r="J142" s="29" t="n">
        <v>46294</v>
      </c>
      <c r="K142" s="27" t="n"/>
      <c r="L142" s="28" t="inlineStr">
        <is>
          <t>Automated pass, 15 checks.</t>
        </is>
      </c>
    </row>
    <row r="143" ht="43" customHeight="1">
      <c r="A143" s="24" t="inlineStr">
        <is>
          <t>FIN-09</t>
        </is>
      </c>
      <c r="B143" s="25" t="inlineStr">
        <is>
          <t>Finance</t>
        </is>
      </c>
      <c r="C143" s="25" t="inlineStr">
        <is>
          <t>The five money scenarios</t>
        </is>
      </c>
      <c r="D143" s="26" t="inlineStr">
        <is>
          <t>Happy</t>
        </is>
      </c>
      <c r="E143" s="25" t="inlineStr">
        <is>
          <t>Fully settled: SJ-2026-00050</t>
        </is>
      </c>
      <c r="F143" s="25" t="inlineStr">
        <is>
          <t>Open Charges.</t>
        </is>
      </c>
      <c r="G143" s="25" t="inlineStr">
        <is>
          <t>Final balance (green) "Fully settled". Money in ₱104,700.00, spent ₱102,200.00, left over ₱2,500.00, which exactly equals our fees ₱2,500.00. The ledger's last running balance is ₱2,500.00.</t>
        </is>
      </c>
      <c r="H143" s="27" t="inlineStr">
        <is>
          <t>Pass</t>
        </is>
      </c>
      <c r="I143" s="28" t="inlineStr">
        <is>
          <t>Claude (automated, Playwright)</t>
        </is>
      </c>
      <c r="J143" s="29" t="n">
        <v>46294</v>
      </c>
      <c r="K143" s="27" t="n"/>
      <c r="L143" s="28" t="inlineStr">
        <is>
          <t>Automated pass, 7 checks.</t>
        </is>
      </c>
    </row>
    <row r="144" ht="18" customHeight="1">
      <c r="A144" s="24" t="inlineStr">
        <is>
          <t>FIN-10</t>
        </is>
      </c>
      <c r="B144" s="25" t="inlineStr">
        <is>
          <t>Finance</t>
        </is>
      </c>
      <c r="C144" s="25" t="inlineStr">
        <is>
          <t>The five money scenarios</t>
        </is>
      </c>
      <c r="D144" s="26" t="inlineStr">
        <is>
          <t>Happy</t>
        </is>
      </c>
      <c r="E144" s="25" t="inlineStr">
        <is>
          <t>Short on funds: SJ-2026-00120</t>
        </is>
      </c>
      <c r="F144" s="25" t="inlineStr">
        <is>
          <t>Open Charges.</t>
        </is>
      </c>
      <c r="G144" s="25" t="inlineStr">
        <is>
          <t>Same banner, figures and chip as MGR-19, but read-only.</t>
        </is>
      </c>
      <c r="H144" s="27" t="inlineStr">
        <is>
          <t>Pass</t>
        </is>
      </c>
      <c r="I144" s="28" t="inlineStr">
        <is>
          <t>Claude (automated, Playwright)</t>
        </is>
      </c>
      <c r="J144" s="29" t="n">
        <v>46294</v>
      </c>
      <c r="K144" s="27" t="n"/>
      <c r="L144" s="28" t="inlineStr">
        <is>
          <t>Automated pass, 6 checks.</t>
        </is>
      </c>
    </row>
    <row r="145" ht="82" customHeight="1">
      <c r="A145" s="24" t="inlineStr">
        <is>
          <t>FIN-11</t>
        </is>
      </c>
      <c r="B145" s="25" t="inlineStr">
        <is>
          <t>Finance</t>
        </is>
      </c>
      <c r="C145" s="25" t="inlineStr">
        <is>
          <t>The five money scenarios</t>
        </is>
      </c>
      <c r="D145" s="26" t="inlineStr">
        <is>
          <t>Happy</t>
        </is>
      </c>
      <c r="E145" s="25" t="inlineStr">
        <is>
          <t>Missing receipt and surprise charge: SJ-2026-00070</t>
        </is>
      </c>
      <c r="F145" s="25" t="inlineStr">
        <is>
          <t>Open Charges.</t>
        </is>
      </c>
      <c r="G145" s="25" t="inlineStr">
        <is>
          <t>Ledger row for Port handling fee (24 Sep, −₱2,400.00) shows a Receipt missing tag; the same tag is in the charges table. Extra storage fee (27 Sep, −₱6,800.00) shows Not in quotation. Final balance "Refund due to client: ₱10,800.00" with "Not final yet: an extra charge still needs client approval." Money in ₱160,000.00, spent ₱145,700.00, left over ₱14,300.00.</t>
        </is>
      </c>
      <c r="H145" s="27" t="inlineStr">
        <is>
          <t>Pass</t>
        </is>
      </c>
      <c r="I145" s="28" t="inlineStr">
        <is>
          <t>Claude (automated, Playwright)</t>
        </is>
      </c>
      <c r="J145" s="29" t="n">
        <v>46294</v>
      </c>
      <c r="K145" s="27" t="n"/>
      <c r="L145" s="28" t="inlineStr">
        <is>
          <t>Automated pass, 7 checks.</t>
        </is>
      </c>
    </row>
    <row r="146" ht="121" customHeight="1">
      <c r="A146" s="24" t="inlineStr">
        <is>
          <t>FIN-12</t>
        </is>
      </c>
      <c r="B146" s="25" t="inlineStr">
        <is>
          <t>Finance</t>
        </is>
      </c>
      <c r="C146" s="25" t="inlineStr">
        <is>
          <t>The five money scenarios</t>
        </is>
      </c>
      <c r="D146" s="26" t="inlineStr">
        <is>
          <t>Happy</t>
        </is>
      </c>
      <c r="E146" s="25" t="inlineStr">
        <is>
          <t>Margin is on our fees, not pass-through costs</t>
        </is>
      </c>
      <c r="F146" s="25" t="inlineStr">
        <is>
          <t>On SJ-2026-00060 read Cost &amp; margin.</t>
        </is>
      </c>
      <c r="G146" s="25" t="inlineStr">
        <is>
          <t>Quoted amount ₱101,667.00 (with note "No quotation on record ... estimated from the declared value, illustrative only"), Reimbursable costs ₱150,400.00 "pass-through", Service fees ₱8,500.00 "incl. ₱5,000.00 markup", Margin ₱8,500.00, Margin % 5.3%, pill "Over quote". The line "Margin = our service fees + any markup (less any cost we absorb). Pass-through costs are billed back at cost, so they are not margin. Margin % is of the total billed to the client." is on screen. Bars by category: Freight 86%, Duties &amp; Taxes 12%, Fees 2%.</t>
        </is>
      </c>
      <c r="H146" s="27" t="inlineStr">
        <is>
          <t>Pass</t>
        </is>
      </c>
      <c r="I146" s="28" t="inlineStr">
        <is>
          <t>Claude (automated, Playwright)</t>
        </is>
      </c>
      <c r="J146" s="29" t="n">
        <v>46294</v>
      </c>
      <c r="K146" s="27" t="n"/>
      <c r="L146" s="28" t="inlineStr">
        <is>
          <t>Automated pass, 13 checks.</t>
        </is>
      </c>
    </row>
    <row r="147" ht="56" customHeight="1">
      <c r="A147" s="24" t="inlineStr">
        <is>
          <t>FIN-13</t>
        </is>
      </c>
      <c r="B147" s="25" t="inlineStr">
        <is>
          <t>Finance</t>
        </is>
      </c>
      <c r="C147" s="25" t="inlineStr">
        <is>
          <t>The five money scenarios</t>
        </is>
      </c>
      <c r="D147" s="26" t="inlineStr">
        <is>
          <t>Happy</t>
        </is>
      </c>
      <c r="E147" s="25" t="inlineStr">
        <is>
          <t>Charges table splits the two kinds of cost</t>
        </is>
      </c>
      <c r="F147" s="25" t="inlineStr">
        <is>
          <t>On SJ-2026-00060 read Charges &amp; expenses.</t>
        </is>
      </c>
      <c r="G147" s="25" t="inlineStr">
        <is>
          <t>Columns Description, Category, Type, Payment, Evidence, Amount. Type shows "Reimbursable" or "Service fee". Sub-totals "Reimbursable costs (pass-through) ₱150,400.00", "Service fees ₱3,500.00", "Markup ₱5,000.00", then "Total billed to client ₱158,900.00".</t>
        </is>
      </c>
      <c r="H147" s="27" t="inlineStr">
        <is>
          <t>Pass</t>
        </is>
      </c>
      <c r="I147" s="28" t="inlineStr">
        <is>
          <t>Claude (automated, Playwright)</t>
        </is>
      </c>
      <c r="J147" s="29" t="n">
        <v>46294</v>
      </c>
      <c r="K147" s="27" t="n"/>
      <c r="L147" s="28" t="inlineStr">
        <is>
          <t>Automated pass, 6 checks.</t>
        </is>
      </c>
    </row>
    <row r="148" ht="134" customHeight="1">
      <c r="A148" s="24" t="inlineStr">
        <is>
          <t>FIN-14</t>
        </is>
      </c>
      <c r="B148" s="25" t="inlineStr">
        <is>
          <t>Finance</t>
        </is>
      </c>
      <c r="C148" s="25" t="inlineStr">
        <is>
          <t>Billing summary (the Finance handoff)</t>
        </is>
      </c>
      <c r="D148" s="26" t="inlineStr">
        <is>
          <t>Happy</t>
        </is>
      </c>
      <c r="E148" s="25" t="inlineStr">
        <is>
          <t>Open the summary</t>
        </is>
      </c>
      <c r="F148" s="25" t="inlineStr">
        <is>
          <t>On SJ-2026-00060 Charges, click Open Billing Summary.</t>
        </is>
      </c>
      <c r="G148" s="25" t="inlineStr">
        <is>
          <t>Page titled "Billing Summary" with a dashed "Mock document" tag, job number, issue date 28 Sep 2026, customer and shipment blocks. Charges table with Type column. Split lines: Reimbursable costs ₱150,400.00, Service fees ₱3,500.00, Markup ₱5,000.00, Total billed to client ₱158,900.00, Quoted amount ₱101,667.00, Margin ₱8,500.00 (5.3%). Client funds: Money in ₱175,000.00, Money spent ₱150,400.00, Left over ₱24,600.00, Our fees ₱8,500.00, Refund due to client ₱16,100.00. Footer says it is not a client invoice or an accounting record. The word "Invoice" is never used as the document's title.</t>
        </is>
      </c>
      <c r="H148" s="27" t="inlineStr">
        <is>
          <t>Pass</t>
        </is>
      </c>
      <c r="I148" s="28" t="inlineStr">
        <is>
          <t>Claude (automated, Playwright)</t>
        </is>
      </c>
      <c r="J148" s="29" t="n">
        <v>46294</v>
      </c>
      <c r="K148" s="27" t="n"/>
      <c r="L148" s="28" t="inlineStr">
        <is>
          <t>Automated pass, 22 checks. Note: Footer says "not a client-facing invoice"; plan quotes "not a client invoice" (same meaning)</t>
        </is>
      </c>
    </row>
    <row r="149" ht="30" customHeight="1">
      <c r="A149" s="24" t="inlineStr">
        <is>
          <t>FIN-15</t>
        </is>
      </c>
      <c r="B149" s="25" t="inlineStr">
        <is>
          <t>Finance</t>
        </is>
      </c>
      <c r="C149" s="25" t="inlineStr">
        <is>
          <t>Billing summary (the Finance handoff)</t>
        </is>
      </c>
      <c r="D149" s="26" t="inlineStr">
        <is>
          <t>Happy</t>
        </is>
      </c>
      <c r="E149" s="25" t="inlineStr">
        <is>
          <t>Print or export</t>
        </is>
      </c>
      <c r="F149" s="25" t="inlineStr">
        <is>
          <t>Click Print / Export.</t>
        </is>
      </c>
      <c r="G149" s="25" t="inlineStr">
        <is>
          <t>The browser's print preview shows only the document: no sidebar, top bar or buttons.</t>
        </is>
      </c>
      <c r="H149" s="27" t="inlineStr">
        <is>
          <t>Pass</t>
        </is>
      </c>
      <c r="I149" s="28" t="inlineStr">
        <is>
          <t>Claude (automated, Playwright)</t>
        </is>
      </c>
      <c r="J149" s="29" t="n">
        <v>46294</v>
      </c>
      <c r="K149" s="27" t="n"/>
      <c r="L149" s="28" t="inlineStr">
        <is>
          <t>Automated pass, 3 checks. Note: Checked with print-media emulation (headless Chromium cannot open the native print preview)</t>
        </is>
      </c>
    </row>
    <row r="150" ht="95" customHeight="1">
      <c r="A150" s="24" t="inlineStr">
        <is>
          <t>FIN-16</t>
        </is>
      </c>
      <c r="B150" s="25" t="inlineStr">
        <is>
          <t>Finance</t>
        </is>
      </c>
      <c r="C150" s="25" t="inlineStr">
        <is>
          <t>Billing summary (the Finance handoff)</t>
        </is>
      </c>
      <c r="D150" s="26" t="inlineStr">
        <is>
          <t>Happy</t>
        </is>
      </c>
      <c r="E150" s="25" t="inlineStr">
        <is>
          <t>The pre-built PDF for SJ-2026-00101</t>
        </is>
      </c>
      <c r="F150" s="25" t="inlineStr">
        <is>
          <t>Open SJ-2026-00101's Billing Summary. Click Download PDF.</t>
        </is>
      </c>
      <c r="G150" s="25" t="inlineStr">
        <is>
          <t>The button reads Download PDF and serves the pre-built sample PDF (titled "Billing Summary"). Its charges (Ocean freight ₱132,000.00, Customs duty ₱18,400.00, Documentation fee ₱3,500.00) and quote ₱174,500.00 match the screens. Known difference (KL-02): the PDF shows margin as ₱20,600.00 (11.8%), the old quote-minus-charges way, while the screen shows ₱3,500.00 (2.3%). The on-screen funds block reads "Balance to bill client ₱13,900.00".</t>
        </is>
      </c>
      <c r="H150" s="27" t="inlineStr">
        <is>
          <t>Pass</t>
        </is>
      </c>
      <c r="I150" s="28" t="inlineStr">
        <is>
          <t>Claude (automated, Playwright)</t>
        </is>
      </c>
      <c r="J150" s="29" t="n">
        <v>46294</v>
      </c>
      <c r="K150" s="27" t="n"/>
      <c r="L150" s="28" t="inlineStr">
        <is>
          <t>Automated pass, 11 checks. Note: Known (KL-02): the PDF file name contains the word "invoice" (assets/sample-invoice-SJ-2026-00101.pdf)</t>
        </is>
      </c>
    </row>
    <row r="151" ht="43" customHeight="1">
      <c r="A151" s="24" t="inlineStr">
        <is>
          <t>FIN-17</t>
        </is>
      </c>
      <c r="B151" s="25" t="inlineStr">
        <is>
          <t>Finance</t>
        </is>
      </c>
      <c r="C151" s="25" t="inlineStr">
        <is>
          <t>Billing summary (the Finance handoff)</t>
        </is>
      </c>
      <c r="D151" s="26" t="inlineStr">
        <is>
          <t>Edge</t>
        </is>
      </c>
      <c r="E151" s="25" t="inlineStr">
        <is>
          <t>Summary of a job not yet Billing Ready</t>
        </is>
      </c>
      <c r="F151" s="25" t="inlineStr">
        <is>
          <t>Open #/jobs/SJ-2026-00120/billing-summary directly.</t>
        </is>
      </c>
      <c r="G151" s="25" t="inlineStr">
        <is>
          <t>The page still renders (it is read-only), showing the unpaid duty in the charges table. The Charges tab does not offer the summary link for a job that is not yet Billing Ready.</t>
        </is>
      </c>
      <c r="H151" s="27" t="inlineStr">
        <is>
          <t>Pass</t>
        </is>
      </c>
      <c r="I151" s="28" t="inlineStr">
        <is>
          <t>Claude (automated, Playwright)</t>
        </is>
      </c>
      <c r="J151" s="29" t="n">
        <v>46294</v>
      </c>
      <c r="K151" s="27" t="n"/>
      <c r="L151" s="28" t="inlineStr">
        <is>
          <t>Automated pass, 3 checks.</t>
        </is>
      </c>
    </row>
    <row r="152" ht="30" customHeight="1">
      <c r="A152" s="24" t="inlineStr">
        <is>
          <t>FIN-18</t>
        </is>
      </c>
      <c r="B152" s="25" t="inlineStr">
        <is>
          <t>Finance</t>
        </is>
      </c>
      <c r="C152" s="25" t="inlineStr">
        <is>
          <t>Billing summary (the Finance handoff)</t>
        </is>
      </c>
      <c r="D152" s="26" t="inlineStr">
        <is>
          <t>Wrong</t>
        </is>
      </c>
      <c r="E152" s="25" t="inlineStr">
        <is>
          <t>Summary of a job with no charges</t>
        </is>
      </c>
      <c r="F152" s="25" t="inlineStr">
        <is>
          <t>Open #/jobs/SJ-2026-00088/billing-summary.</t>
        </is>
      </c>
      <c r="G152" s="25" t="inlineStr">
        <is>
          <t>"No charges recorded." in the table and zero amounts. No crash.</t>
        </is>
      </c>
      <c r="H152" s="27" t="inlineStr">
        <is>
          <t>Pass</t>
        </is>
      </c>
      <c r="I152" s="28" t="inlineStr">
        <is>
          <t>Claude (automated, Playwright)</t>
        </is>
      </c>
      <c r="J152" s="29" t="n">
        <v>46294</v>
      </c>
      <c r="K152" s="27" t="n"/>
      <c r="L152" s="28" t="inlineStr">
        <is>
          <t>Automated pass, 2 checks.</t>
        </is>
      </c>
    </row>
    <row r="153" ht="43" customHeight="1">
      <c r="A153" s="24" t="inlineStr">
        <is>
          <t>FIN-19</t>
        </is>
      </c>
      <c r="B153" s="25" t="inlineStr">
        <is>
          <t>Finance</t>
        </is>
      </c>
      <c r="C153" s="25" t="inlineStr">
        <is>
          <t>Audit</t>
        </is>
      </c>
      <c r="D153" s="26" t="inlineStr">
        <is>
          <t>Happy</t>
        </is>
      </c>
      <c r="E153" s="25" t="inlineStr">
        <is>
          <t>Finance can follow the money trail</t>
        </is>
      </c>
      <c r="F153" s="25" t="inlineStr">
        <is>
          <t>Open Audit Trail, All time.</t>
        </is>
      </c>
      <c r="G153" s="25" t="inlineStr">
        <is>
          <t>"Funds received" entries by "Grace Tan (Manager)" are present for jobs with deposits (for example SJ-2026-00120, ₱106,000.00, ref BT-780043).</t>
        </is>
      </c>
      <c r="H153" s="27" t="inlineStr">
        <is>
          <t>Pass</t>
        </is>
      </c>
      <c r="I153" s="28" t="inlineStr">
        <is>
          <t>Claude (automated, Playwright)</t>
        </is>
      </c>
      <c r="J153" s="29" t="n">
        <v>46294</v>
      </c>
      <c r="K153" s="27" t="n"/>
      <c r="L153" s="28" t="inlineStr">
        <is>
          <t>Automated pass, 1 checks.</t>
        </is>
      </c>
    </row>
    <row r="154" ht="121" customHeight="1">
      <c r="A154" s="24" t="inlineStr">
        <is>
          <t>CUS-01</t>
        </is>
      </c>
      <c r="B154" s="25" t="inlineStr">
        <is>
          <t>Customer</t>
        </is>
      </c>
      <c r="C154" s="25" t="inlineStr">
        <is>
          <t>Shipment tracking (public page)</t>
        </is>
      </c>
      <c r="D154" s="26" t="inlineStr">
        <is>
          <t>Happy</t>
        </is>
      </c>
      <c r="E154" s="25" t="inlineStr">
        <is>
          <t>Track by job number</t>
        </is>
      </c>
      <c r="F154" s="25" t="inlineStr">
        <is>
          <t>Enter SJ-2026-00120, click Track shipment.</t>
        </is>
      </c>
      <c r="G154" s="25" t="inlineStr">
        <is>
          <t>Navy hero: "Shipment SJ-2026-00120", headline Customs clearance, pill On track, "Estimated arrival to be confirmed", route line Ningbo, CN to Davao, PH "via Batangas, PH" with the marker about two-thirds along. Journey timeline: Booked, Preparing documents, On the water, Arrived at port completed; Customs clearance current with "Customs stage: Payment Pending."; Out for delivery and Delivered greyed. Details panel shows cargo, vessel, container, BL, consignee. Contact panel names Cathy Lim and quotes the job number.</t>
        </is>
      </c>
      <c r="H154" s="27" t="inlineStr">
        <is>
          <t>Pass</t>
        </is>
      </c>
      <c r="I154" s="28" t="inlineStr">
        <is>
          <t>Claude (automated, Playwright)</t>
        </is>
      </c>
      <c r="J154" s="29" t="n">
        <v>46294</v>
      </c>
      <c r="K154" s="27" t="n"/>
      <c r="L154" s="28" t="inlineStr">
        <is>
          <t>Automated pass, 17 checks.</t>
        </is>
      </c>
    </row>
    <row r="155" ht="30" customHeight="1">
      <c r="A155" s="24" t="inlineStr">
        <is>
          <t>CUS-02</t>
        </is>
      </c>
      <c r="B155" s="25" t="inlineStr">
        <is>
          <t>Customer</t>
        </is>
      </c>
      <c r="C155" s="25" t="inlineStr">
        <is>
          <t>Shipment tracking (public page)</t>
        </is>
      </c>
      <c r="D155" s="26" t="inlineStr">
        <is>
          <t>Happy</t>
        </is>
      </c>
      <c r="E155" s="25" t="inlineStr">
        <is>
          <t>Track by BL and by container</t>
        </is>
      </c>
      <c r="F155" s="25" t="inlineStr">
        <is>
          <t>1. Enter bl-2026-04520 (lower case).
2. Then enter  TMWU-118899-2  (with spaces).</t>
        </is>
      </c>
      <c r="G155" s="25" t="inlineStr">
        <is>
          <t>Both open the same shipment. Capitals and spaces do not matter.</t>
        </is>
      </c>
      <c r="H155" s="27" t="inlineStr">
        <is>
          <t>Pass</t>
        </is>
      </c>
      <c r="I155" s="28" t="inlineStr">
        <is>
          <t>Claude (automated, Playwright)</t>
        </is>
      </c>
      <c r="J155" s="29" t="n">
        <v>46294</v>
      </c>
      <c r="K155" s="27" t="n"/>
      <c r="L155" s="28" t="inlineStr">
        <is>
          <t>Automated pass, 2 checks.</t>
        </is>
      </c>
    </row>
    <row r="156" ht="30" customHeight="1">
      <c r="A156" s="24" t="inlineStr">
        <is>
          <t>CUS-03</t>
        </is>
      </c>
      <c r="B156" s="25" t="inlineStr">
        <is>
          <t>Customer</t>
        </is>
      </c>
      <c r="C156" s="25" t="inlineStr">
        <is>
          <t>Shipment tracking (public page)</t>
        </is>
      </c>
      <c r="D156" s="26" t="inlineStr">
        <is>
          <t>Wrong</t>
        </is>
      </c>
      <c r="E156" s="25" t="inlineStr">
        <is>
          <t>Number not found</t>
        </is>
      </c>
      <c r="F156" s="25" t="inlineStr">
        <is>
          <t>Enter nope-123.</t>
        </is>
      </c>
      <c r="G156" s="25" t="inlineStr">
        <is>
          <t>Red message "We could not find a shipment for "nope-123". Check the number and try again." The box keeps what you typed.</t>
        </is>
      </c>
      <c r="H156" s="27" t="inlineStr">
        <is>
          <t>Pass</t>
        </is>
      </c>
      <c r="I156" s="28" t="inlineStr">
        <is>
          <t>Claude (automated, Playwright)</t>
        </is>
      </c>
      <c r="J156" s="29" t="n">
        <v>46294</v>
      </c>
      <c r="K156" s="27" t="n"/>
      <c r="L156" s="28" t="inlineStr">
        <is>
          <t>Automated pass, 3 checks.</t>
        </is>
      </c>
    </row>
    <row r="157" ht="30" customHeight="1">
      <c r="A157" s="24" t="inlineStr">
        <is>
          <t>CUS-04</t>
        </is>
      </c>
      <c r="B157" s="25" t="inlineStr">
        <is>
          <t>Customer</t>
        </is>
      </c>
      <c r="C157" s="25" t="inlineStr">
        <is>
          <t>Shipment tracking (public page)</t>
        </is>
      </c>
      <c r="D157" s="26" t="inlineStr">
        <is>
          <t>Wrong</t>
        </is>
      </c>
      <c r="E157" s="25" t="inlineStr">
        <is>
          <t>Empty search</t>
        </is>
      </c>
      <c r="F157" s="25" t="inlineStr">
        <is>
          <t>Click Track shipment with the box empty.</t>
        </is>
      </c>
      <c r="G157" s="25" t="inlineStr">
        <is>
          <t>"Enter a job, BL or container number."</t>
        </is>
      </c>
      <c r="H157" s="27" t="inlineStr">
        <is>
          <t>Pass</t>
        </is>
      </c>
      <c r="I157" s="28" t="inlineStr">
        <is>
          <t>Claude (automated, Playwright)</t>
        </is>
      </c>
      <c r="J157" s="29" t="n">
        <v>46294</v>
      </c>
      <c r="K157" s="27" t="n"/>
      <c r="L157" s="28" t="inlineStr">
        <is>
          <t>Automated pass, 1 checks.</t>
        </is>
      </c>
    </row>
    <row r="158" ht="30" customHeight="1">
      <c r="A158" s="24" t="inlineStr">
        <is>
          <t>CUS-05</t>
        </is>
      </c>
      <c r="B158" s="25" t="inlineStr">
        <is>
          <t>Customer</t>
        </is>
      </c>
      <c r="C158" s="25" t="inlineStr">
        <is>
          <t>Shipment tracking (public page)</t>
        </is>
      </c>
      <c r="D158" s="26" t="inlineStr">
        <is>
          <t>Wrong</t>
        </is>
      </c>
      <c r="E158" s="25" t="inlineStr">
        <is>
          <t>A bad address</t>
        </is>
      </c>
      <c r="F158" s="25" t="inlineStr">
        <is>
          <t>Go to #/track/SJ-2026-99999.</t>
        </is>
      </c>
      <c r="G158" s="25" t="inlineStr">
        <is>
          <t>"We could not find that shipment" with a Try another number button.</t>
        </is>
      </c>
      <c r="H158" s="27" t="inlineStr">
        <is>
          <t>Pass</t>
        </is>
      </c>
      <c r="I158" s="28" t="inlineStr">
        <is>
          <t>Claude (automated, Playwright)</t>
        </is>
      </c>
      <c r="J158" s="29" t="n">
        <v>46294</v>
      </c>
      <c r="K158" s="27" t="n"/>
      <c r="L158" s="28" t="inlineStr">
        <is>
          <t>Automated pass, 2 checks.</t>
        </is>
      </c>
    </row>
    <row r="159" ht="82" customHeight="1">
      <c r="A159" s="24" t="inlineStr">
        <is>
          <t>CUS-06</t>
        </is>
      </c>
      <c r="B159" s="25" t="inlineStr">
        <is>
          <t>Customer</t>
        </is>
      </c>
      <c r="C159" s="25" t="inlineStr">
        <is>
          <t>Shipment tracking (public page)</t>
        </is>
      </c>
      <c r="D159" s="26" t="inlineStr">
        <is>
          <t>Happy</t>
        </is>
      </c>
      <c r="E159" s="25" t="inlineStr">
        <is>
          <t>Every stage reads in plain words</t>
        </is>
      </c>
      <c r="F159" s="25" t="inlineStr">
        <is>
          <t>Track each job.</t>
        </is>
      </c>
      <c r="G159" s="25" t="inlineStr">
        <is>
          <t>00110: Booked. 00095: Preparing documents. 00088: On the water ("Your cargo is at sea aboard ONE Busan."). 00082: Arrived at port. 00120, 00130, 00065: Customs clearance. 00077: Out for delivery ("On its way to Pasig, PH.", ETA 30 Sep 2026). 00070, 00060, 00050, 00101: Delivered. No internal status names (Billing Ready, Closed, Exception Hold) ever appear.</t>
        </is>
      </c>
      <c r="H159" s="27" t="inlineStr">
        <is>
          <t>Pass</t>
        </is>
      </c>
      <c r="I159" s="28" t="inlineStr">
        <is>
          <t>Claude (automated, Playwright)</t>
        </is>
      </c>
      <c r="J159" s="29" t="n">
        <v>46294</v>
      </c>
      <c r="K159" s="27" t="n"/>
      <c r="L159" s="28" t="inlineStr">
        <is>
          <t>Automated pass, 27 checks.</t>
        </is>
      </c>
    </row>
    <row r="160" ht="69" customHeight="1">
      <c r="A160" s="24" t="inlineStr">
        <is>
          <t>CUS-07</t>
        </is>
      </c>
      <c r="B160" s="25" t="inlineStr">
        <is>
          <t>Customer</t>
        </is>
      </c>
      <c r="C160" s="25" t="inlineStr">
        <is>
          <t>Shipment tracking (public page)</t>
        </is>
      </c>
      <c r="D160" s="26" t="inlineStr">
        <is>
          <t>Wrong</t>
        </is>
      </c>
      <c r="E160" s="25" t="inlineStr">
        <is>
          <t>Customs inspection</t>
        </is>
      </c>
      <c r="F160" s="25" t="inlineStr">
        <is>
          <t>Track SJ-2026-00130.</t>
        </is>
      </c>
      <c r="G160" s="25" t="inlineStr">
        <is>
          <t>Pill Delayed, amber step, and the notice "Customs inspection in progress: the Bureau of Customs has selected this shipment for a check. Our team is handling it and will contact you if anything is needed from you." The internal note about "physical examination at the container yard" is not shown.</t>
        </is>
      </c>
      <c r="H160" s="27" t="inlineStr">
        <is>
          <t>Pass</t>
        </is>
      </c>
      <c r="I160" s="28" t="inlineStr">
        <is>
          <t>Claude (automated, Playwright)</t>
        </is>
      </c>
      <c r="J160" s="29" t="n">
        <v>46294</v>
      </c>
      <c r="K160" s="27" t="n"/>
      <c r="L160" s="28" t="inlineStr">
        <is>
          <t>Automated pass, 6 checks.</t>
        </is>
      </c>
    </row>
    <row r="161" ht="56" customHeight="1">
      <c r="A161" s="24" t="inlineStr">
        <is>
          <t>CUS-08</t>
        </is>
      </c>
      <c r="B161" s="25" t="inlineStr">
        <is>
          <t>Customer</t>
        </is>
      </c>
      <c r="C161" s="25" t="inlineStr">
        <is>
          <t>Shipment tracking (public page)</t>
        </is>
      </c>
      <c r="D161" s="26" t="inlineStr">
        <is>
          <t>Wrong</t>
        </is>
      </c>
      <c r="E161" s="25" t="inlineStr">
        <is>
          <t>A held shipment and a payment waiting on the client</t>
        </is>
      </c>
      <c r="F161" s="25" t="inlineStr">
        <is>
          <t>Track SJ-2026-00065.</t>
        </is>
      </c>
      <c r="G161" s="25" t="inlineStr">
        <is>
          <t>Notice "Your shipment is delayed: our team is resolving an issue and will contact you." and a blue "Action needed from you: customs duties are waiting to be paid ... contact your coordinator." The exception details (HS code) are not shown.</t>
        </is>
      </c>
      <c r="H161" s="27" t="inlineStr">
        <is>
          <t>Pass</t>
        </is>
      </c>
      <c r="I161" s="28" t="inlineStr">
        <is>
          <t>Claude (automated, Playwright)</t>
        </is>
      </c>
      <c r="J161" s="29" t="n">
        <v>46294</v>
      </c>
      <c r="K161" s="27" t="n"/>
      <c r="L161" s="28" t="inlineStr">
        <is>
          <t>Automated pass, 7 checks.</t>
        </is>
      </c>
    </row>
    <row r="162" ht="69" customHeight="1">
      <c r="A162" s="24" t="inlineStr">
        <is>
          <t>CUS-09</t>
        </is>
      </c>
      <c r="B162" s="25" t="inlineStr">
        <is>
          <t>Customer</t>
        </is>
      </c>
      <c r="C162" s="25" t="inlineStr">
        <is>
          <t>Shipment tracking (public page)</t>
        </is>
      </c>
      <c r="D162" s="26" t="inlineStr">
        <is>
          <t>Happy</t>
        </is>
      </c>
      <c r="E162" s="25" t="inlineStr">
        <is>
          <t>Delivered shipment</t>
        </is>
      </c>
      <c r="F162" s="25" t="inlineStr">
        <is>
          <t>Track SJ-2026-00060.</t>
        </is>
      </c>
      <c r="G162" s="25" t="inlineStr">
        <is>
          <t>Headline Delivered, pill Delivered, "Delivered 20 Sep 2026", route marker at the end with a tick, all seven steps completed, last step "Delivered on 20 Sep 2026". A Delivery panel shows date, received by "R. Aquino (Site Lead)", and a "Proof of delivery" file row with a View button.</t>
        </is>
      </c>
      <c r="H162" s="27" t="inlineStr">
        <is>
          <t>Pass</t>
        </is>
      </c>
      <c r="I162" s="28" t="inlineStr">
        <is>
          <t>Claude (automated, Playwright)</t>
        </is>
      </c>
      <c r="J162" s="29" t="n">
        <v>46294</v>
      </c>
      <c r="K162" s="27" t="n"/>
      <c r="L162" s="28" t="inlineStr">
        <is>
          <t>Automated pass, 9 checks.</t>
        </is>
      </c>
    </row>
    <row r="163" ht="30" customHeight="1">
      <c r="A163" s="24" t="inlineStr">
        <is>
          <t>CUS-10</t>
        </is>
      </c>
      <c r="B163" s="25" t="inlineStr">
        <is>
          <t>Customer</t>
        </is>
      </c>
      <c r="C163" s="25" t="inlineStr">
        <is>
          <t>Shipment tracking (public page)</t>
        </is>
      </c>
      <c r="D163" s="26" t="inlineStr">
        <is>
          <t>Wrong</t>
        </is>
      </c>
      <c r="E163" s="25" t="inlineStr">
        <is>
          <t>Delivered with damage</t>
        </is>
      </c>
      <c r="F163" s="25" t="inlineStr">
        <is>
          <t>(After MGR-18 or WHC-09 in the same session) track SJ-2026-00077.</t>
        </is>
      </c>
      <c r="G163" s="25" t="inlineStr">
        <is>
          <t>The Delivery panel adds "Damage or incomplete delivery reported: our team will contact you about next steps."</t>
        </is>
      </c>
      <c r="H163" s="27" t="inlineStr">
        <is>
          <t>Pass</t>
        </is>
      </c>
      <c r="I163" s="28" t="inlineStr">
        <is>
          <t>Claude (automated, Playwright)</t>
        </is>
      </c>
      <c r="J163" s="29" t="n">
        <v>46294</v>
      </c>
      <c r="K163" s="27" t="n"/>
      <c r="L163" s="28" t="inlineStr">
        <is>
          <t>Automated pass, 2 checks.</t>
        </is>
      </c>
    </row>
    <row r="164" ht="43" customHeight="1">
      <c r="A164" s="24" t="inlineStr">
        <is>
          <t>CUS-11</t>
        </is>
      </c>
      <c r="B164" s="25" t="inlineStr">
        <is>
          <t>Customer</t>
        </is>
      </c>
      <c r="C164" s="25" t="inlineStr">
        <is>
          <t>Shipment tracking (public page)</t>
        </is>
      </c>
      <c r="D164" s="26" t="inlineStr">
        <is>
          <t>Access</t>
        </is>
      </c>
      <c r="E164" s="25" t="inlineStr">
        <is>
          <t>Nothing internal leaks</t>
        </is>
      </c>
      <c r="F164" s="25" t="inlineStr">
        <is>
          <t>On at least three shipments use the browser's find (Ctrl+F) for ₱, fund, margin, quotation, Overdue, Reassign, audit, staff names other than the coordinator.</t>
        </is>
      </c>
      <c r="G164" s="25" t="inlineStr">
        <is>
          <t>None found. No sidebar, top bar, staff menu or staff back link is shown, even if you are signed in as staff.</t>
        </is>
      </c>
      <c r="H164" s="27" t="inlineStr">
        <is>
          <t>Pass</t>
        </is>
      </c>
      <c r="I164" s="28" t="inlineStr">
        <is>
          <t>Claude (automated, Playwright)</t>
        </is>
      </c>
      <c r="J164" s="29" t="n">
        <v>46294</v>
      </c>
      <c r="K164" s="27" t="n"/>
      <c r="L164" s="28" t="inlineStr">
        <is>
          <t>Automated pass, 36 checks.</t>
        </is>
      </c>
    </row>
    <row r="165" ht="43" customHeight="1">
      <c r="A165" s="24" t="inlineStr">
        <is>
          <t>CUS-12</t>
        </is>
      </c>
      <c r="B165" s="25" t="inlineStr">
        <is>
          <t>Customer</t>
        </is>
      </c>
      <c r="C165" s="25" t="inlineStr">
        <is>
          <t>Shipment tracking (public page)</t>
        </is>
      </c>
      <c r="D165" s="26" t="inlineStr">
        <is>
          <t>Edge</t>
        </is>
      </c>
      <c r="E165" s="25" t="inlineStr">
        <is>
          <t>Estimated arrival is not a real date</t>
        </is>
      </c>
      <c r="F165" s="25" t="inlineStr">
        <is>
          <t>Track SJ-2026-00120 and SJ-2026-00130.</t>
        </is>
      </c>
      <c r="G165" s="25" t="inlineStr">
        <is>
          <t>Where the internal note is not a date ("Awaiting payment", "On hold, under inspection"), the page says "Estimated arrival to be confirmed", never the internal wording.</t>
        </is>
      </c>
      <c r="H165" s="27" t="inlineStr">
        <is>
          <t>Pass</t>
        </is>
      </c>
      <c r="I165" s="28" t="inlineStr">
        <is>
          <t>Claude (automated, Playwright)</t>
        </is>
      </c>
      <c r="J165" s="29" t="n">
        <v>46294</v>
      </c>
      <c r="K165" s="27" t="n"/>
      <c r="L165" s="28" t="inlineStr">
        <is>
          <t>Automated pass, 4 checks.</t>
        </is>
      </c>
    </row>
    <row r="166" ht="30" customHeight="1">
      <c r="A166" s="24" t="inlineStr">
        <is>
          <t>CUS-13</t>
        </is>
      </c>
      <c r="B166" s="25" t="inlineStr">
        <is>
          <t>Customer</t>
        </is>
      </c>
      <c r="C166" s="25" t="inlineStr">
        <is>
          <t>Shipment tracking (public page)</t>
        </is>
      </c>
      <c r="D166" s="26" t="inlineStr">
        <is>
          <t>Happy</t>
        </is>
      </c>
      <c r="E166" s="25" t="inlineStr">
        <is>
          <t>Phone width</t>
        </is>
      </c>
      <c r="F166" s="25" t="inlineStr">
        <is>
          <t>Narrow the window to 400 px.</t>
        </is>
      </c>
      <c r="G166" s="25" t="inlineStr">
        <is>
          <t>Single column, timeline readable, route line still fits, no sideways scrolling of the page.</t>
        </is>
      </c>
      <c r="H166" s="27" t="inlineStr">
        <is>
          <t>Pass</t>
        </is>
      </c>
      <c r="I166" s="28" t="inlineStr">
        <is>
          <t>Claude (automated, Playwright)</t>
        </is>
      </c>
      <c r="J166" s="29" t="n">
        <v>46294</v>
      </c>
      <c r="K166" s="27" t="n"/>
      <c r="L166" s="28" t="inlineStr">
        <is>
          <t>Automated pass, 5 checks.</t>
        </is>
      </c>
    </row>
    <row r="167" ht="30" customHeight="1">
      <c r="A167" s="24" t="inlineStr">
        <is>
          <t>CUS-14</t>
        </is>
      </c>
      <c r="B167" s="25" t="inlineStr">
        <is>
          <t>Customer</t>
        </is>
      </c>
      <c r="C167" s="25" t="inlineStr">
        <is>
          <t>Shipment tracking (public page)</t>
        </is>
      </c>
      <c r="D167" s="26" t="inlineStr">
        <is>
          <t>Happy</t>
        </is>
      </c>
      <c r="E167" s="25" t="inlineStr">
        <is>
          <t>Staff changes show up</t>
        </is>
      </c>
      <c r="F167" s="25" t="inlineStr">
        <is>
          <t>Signed in as staff, move SJ-2026-00088 forward, then open its Client tracking page.</t>
        </is>
      </c>
      <c r="G167" s="25" t="inlineStr">
        <is>
          <t>Headline reflects the new stage.</t>
        </is>
      </c>
      <c r="H167" s="27" t="inlineStr">
        <is>
          <t>Pass</t>
        </is>
      </c>
      <c r="I167" s="28" t="inlineStr">
        <is>
          <t>Claude (automated, Playwright)</t>
        </is>
      </c>
      <c r="J167" s="29" t="n">
        <v>46294</v>
      </c>
      <c r="K167" s="27" t="n"/>
      <c r="L167" s="28" t="inlineStr">
        <is>
          <t>Automated pass, 1 checks.</t>
        </is>
      </c>
    </row>
    <row r="168" ht="56" customHeight="1">
      <c r="A168" s="24" t="inlineStr">
        <is>
          <t>XC-01</t>
        </is>
      </c>
      <c r="B168" s="25" t="inlineStr">
        <is>
          <t>Cross-cutting</t>
        </is>
      </c>
      <c r="C168" s="25" t="inlineStr">
        <is>
          <t>Cross-cutting checks</t>
        </is>
      </c>
      <c r="D168" s="26" t="inlineStr">
        <is>
          <t>Happy</t>
        </is>
      </c>
      <c r="E168" s="25" t="inlineStr">
        <is>
          <t>Layout at four screen widths</t>
        </is>
      </c>
      <c r="F168" s="25" t="inlineStr">
        <is>
          <t>For sign-in, Dashboard, a job's Charges tab, Billing Summary and the tracking page, test at 1440, 1024, 768 and 400 px wide.</t>
        </is>
      </c>
      <c r="G168" s="25" t="inlineStr">
        <is>
          <t>No sideways scrolling of the page, no clipped or overlapping text. At 960 px and below the sidebar shrinks to an icon rail; below 640 px it becomes a bottom bar. Wide tables scroll inside their own box.</t>
        </is>
      </c>
      <c r="H168" s="27" t="inlineStr">
        <is>
          <t>Pass</t>
        </is>
      </c>
      <c r="I168" s="28" t="inlineStr">
        <is>
          <t>Claude (automated, Playwright)</t>
        </is>
      </c>
      <c r="J168" s="29" t="n">
        <v>46294</v>
      </c>
      <c r="K168" s="27" t="n"/>
      <c r="L168" s="28" t="inlineStr">
        <is>
          <t>Automated pass, 1 checks. Note: At 400px the 9-stage milestone track and the customs sub-track scroll sideways inside their own card (allowed) but show no scroll cue, and the current stage can start off-screen | Screenshots of all 20 combinations saved for review</t>
        </is>
      </c>
    </row>
    <row r="169" ht="30" customHeight="1">
      <c r="A169" s="24" t="inlineStr">
        <is>
          <t>XC-02</t>
        </is>
      </c>
      <c r="B169" s="25" t="inlineStr">
        <is>
          <t>Cross-cutting</t>
        </is>
      </c>
      <c r="C169" s="25" t="inlineStr">
        <is>
          <t>Cross-cutting checks</t>
        </is>
      </c>
      <c r="D169" s="26" t="inlineStr">
        <is>
          <t>Access</t>
        </is>
      </c>
      <c r="E169" s="25" t="inlineStr">
        <is>
          <t>Keyboard only</t>
        </is>
      </c>
      <c r="F169" s="25" t="inlineStr">
        <is>
          <t>Using only Tab, Shift+Tab, Enter and Space: sign in, open a job, open a drawer, close it.</t>
        </is>
      </c>
      <c r="G169" s="25" t="inlineStr">
        <is>
          <t>Every control is reachable in a sensible order, focus is always visible, and no step needs a mouse.</t>
        </is>
      </c>
      <c r="H169" s="27" t="inlineStr">
        <is>
          <t>Fail</t>
        </is>
      </c>
      <c r="I169" s="28" t="inlineStr">
        <is>
          <t>Claude (automated, Playwright)</t>
        </is>
      </c>
      <c r="J169" s="29" t="n">
        <v>46294</v>
      </c>
      <c r="K169" s="27" t="inlineStr">
        <is>
          <t>D-001</t>
        </is>
      </c>
      <c r="L169" s="28" t="inlineStr">
        <is>
          <t>Automated FAIL: Keyboard-only use: "every control is reachable in a sensible order... no step needs a mouse": expected "" but got "Job rows are not keyboard-focusable (the row is a click target only; each row has just a ⋮ button) ;; Opening the ⋮ menu with Enter does not move focus into the menu ;; The only keyboard route to a job (⋮ menu, "Open tasks") needs 12 Tab presses to reach the menu item (menu is at the end of the page) ;; Inquiry rows have no focusable control at all, so an inquiry cannot be opened from the list with the keyboard ;; Opening a drawer (New customer) leaves focus on the trigger button instead of moving into the drawer ;; The first drawer control needs 7 Tab presses to reach (drawer is at the end of the page; focus is not trapped or moved)"</t>
        </is>
      </c>
    </row>
    <row r="170" ht="30" customHeight="1">
      <c r="A170" s="24" t="inlineStr">
        <is>
          <t>XC-03</t>
        </is>
      </c>
      <c r="B170" s="25" t="inlineStr">
        <is>
          <t>Cross-cutting</t>
        </is>
      </c>
      <c r="C170" s="25" t="inlineStr">
        <is>
          <t>Cross-cutting checks</t>
        </is>
      </c>
      <c r="D170" s="26" t="inlineStr">
        <is>
          <t>Access</t>
        </is>
      </c>
      <c r="E170" s="25" t="inlineStr">
        <is>
          <t>Reduced motion</t>
        </is>
      </c>
      <c r="F170" s="25" t="inlineStr">
        <is>
          <t>Turn on "reduce motion" in your operating system, reload, open SJ-2026-00120 Charges and a tracking page.</t>
        </is>
      </c>
      <c r="G170" s="25" t="inlineStr">
        <is>
          <t>The warning banner, ledger rows, route line and timeline do not animate.</t>
        </is>
      </c>
      <c r="H170" s="27" t="inlineStr">
        <is>
          <t>Pass</t>
        </is>
      </c>
      <c r="I170" s="28" t="inlineStr">
        <is>
          <t>Claude (automated, Playwright)</t>
        </is>
      </c>
      <c r="J170" s="29" t="n">
        <v>46294</v>
      </c>
      <c r="K170" s="27" t="n"/>
      <c r="L170" s="28" t="inlineStr">
        <is>
          <t>Automated pass, 2 checks.</t>
        </is>
      </c>
    </row>
    <row r="171" ht="30" customHeight="1">
      <c r="A171" s="24" t="inlineStr">
        <is>
          <t>XC-04</t>
        </is>
      </c>
      <c r="B171" s="25" t="inlineStr">
        <is>
          <t>Cross-cutting</t>
        </is>
      </c>
      <c r="C171" s="25" t="inlineStr">
        <is>
          <t>Cross-cutting checks</t>
        </is>
      </c>
      <c r="D171" s="26" t="inlineStr">
        <is>
          <t>Access</t>
        </is>
      </c>
      <c r="E171" s="25" t="inlineStr">
        <is>
          <t>Status is never colour alone</t>
        </is>
      </c>
      <c r="F171" s="25" t="inlineStr">
        <is>
          <t>Scan status tags (job status, task, document, funds, customer timeline).</t>
        </is>
      </c>
      <c r="G171" s="25" t="inlineStr">
        <is>
          <t>Every status has an icon and a word next to its colour. Negative amounts also carry a minus sign.</t>
        </is>
      </c>
      <c r="H171" s="27" t="inlineStr">
        <is>
          <t>Pass</t>
        </is>
      </c>
      <c r="I171" s="28" t="inlineStr">
        <is>
          <t>Claude (automated, Playwright)</t>
        </is>
      </c>
      <c r="J171" s="29" t="n">
        <v>46294</v>
      </c>
      <c r="K171" s="27" t="n"/>
      <c r="L171" s="28" t="inlineStr">
        <is>
          <t>Automated pass, 4 checks.</t>
        </is>
      </c>
    </row>
    <row r="172" ht="43" customHeight="1">
      <c r="A172" s="24" t="inlineStr">
        <is>
          <t>XC-05</t>
        </is>
      </c>
      <c r="B172" s="25" t="inlineStr">
        <is>
          <t>Cross-cutting</t>
        </is>
      </c>
      <c r="C172" s="25" t="inlineStr">
        <is>
          <t>Cross-cutting checks</t>
        </is>
      </c>
      <c r="D172" s="26" t="inlineStr">
        <is>
          <t>Happy</t>
        </is>
      </c>
      <c r="E172" s="25" t="inlineStr">
        <is>
          <t>Everything mock is labelled</t>
        </is>
      </c>
      <c r="F172" s="25" t="inlineStr">
        <is>
          <t>Look at Dashboard, Billing Summary, Charges footnote, tracking page footer, sign-in.</t>
        </is>
      </c>
      <c r="G172" s="25" t="inlineStr">
        <is>
          <t>Illustrative or mock wording is visible ("Illustrative data", "Mock document", "Mockup only"). No real company, person or price appears. The Billing Summary is never titled an invoice.</t>
        </is>
      </c>
      <c r="H172" s="27" t="inlineStr">
        <is>
          <t>Pass</t>
        </is>
      </c>
      <c r="I172" s="28" t="inlineStr">
        <is>
          <t>Claude (automated, Playwright)</t>
        </is>
      </c>
      <c r="J172" s="29" t="n">
        <v>46294</v>
      </c>
      <c r="K172" s="27" t="n"/>
      <c r="L172" s="28" t="inlineStr">
        <is>
          <t>Automated pass, 6 checks.</t>
        </is>
      </c>
    </row>
    <row r="173" ht="30" customHeight="1">
      <c r="A173" s="24" t="inlineStr">
        <is>
          <t>XC-06</t>
        </is>
      </c>
      <c r="B173" s="25" t="inlineStr">
        <is>
          <t>Cross-cutting</t>
        </is>
      </c>
      <c r="C173" s="25" t="inlineStr">
        <is>
          <t>Cross-cutting checks</t>
        </is>
      </c>
      <c r="D173" s="26" t="inlineStr">
        <is>
          <t>Happy</t>
        </is>
      </c>
      <c r="E173" s="25" t="inlineStr">
        <is>
          <t>Every change leaves an audit entry</t>
        </is>
      </c>
      <c r="F173" s="25" t="inlineStr">
        <is>
          <t>Perform each action in the table below on any suitable job, then read the job's Status history (or Audit Trail).</t>
        </is>
      </c>
      <c r="G173" s="25" t="inlineStr">
        <is>
          <t>One entry per action, with the wording below and the real signed-in person as "Name (Role)".</t>
        </is>
      </c>
      <c r="H173" s="27" t="inlineStr">
        <is>
          <t>Pass</t>
        </is>
      </c>
      <c r="I173" s="28" t="inlineStr">
        <is>
          <t>Claude (automated, Playwright)</t>
        </is>
      </c>
      <c r="J173" s="29" t="n">
        <v>46294</v>
      </c>
      <c r="K173" s="27" t="n"/>
      <c r="L173" s="28" t="inlineStr">
        <is>
          <t>Automated pass, 43 checks.</t>
        </is>
      </c>
    </row>
    <row r="174" ht="30" customHeight="1">
      <c r="A174" s="24" t="inlineStr">
        <is>
          <t>XC-07</t>
        </is>
      </c>
      <c r="B174" s="25" t="inlineStr">
        <is>
          <t>Cross-cutting</t>
        </is>
      </c>
      <c r="C174" s="25" t="inlineStr">
        <is>
          <t>Cross-cutting checks</t>
        </is>
      </c>
      <c r="D174" s="26" t="inlineStr">
        <is>
          <t>Wrong</t>
        </is>
      </c>
      <c r="E174" s="25" t="inlineStr">
        <is>
          <t>No script errors</t>
        </is>
      </c>
      <c r="F174" s="25" t="inlineStr">
        <is>
          <t>Open the browser developer tools console and run a long session (any journey in section 11).</t>
        </is>
      </c>
      <c r="G174" s="25" t="inlineStr">
        <is>
          <t>No red errors. No browser pop-up dialogs (alert, confirm) ever appear.</t>
        </is>
      </c>
      <c r="H174" s="27" t="inlineStr">
        <is>
          <t>Pass</t>
        </is>
      </c>
      <c r="I174" s="28" t="inlineStr">
        <is>
          <t>Claude (automated, Playwright)</t>
        </is>
      </c>
      <c r="J174" s="29" t="n">
        <v>46294</v>
      </c>
      <c r="K174" s="27" t="n"/>
      <c r="L174" s="28" t="inlineStr">
        <is>
          <t>Automated pass, 2 checks. Note: Covers every case run in this session, including the long E2E journeys when the full suite is run in one go</t>
        </is>
      </c>
    </row>
    <row r="175" ht="30" customHeight="1">
      <c r="A175" s="24" t="inlineStr">
        <is>
          <t>XC-08</t>
        </is>
      </c>
      <c r="B175" s="25" t="inlineStr">
        <is>
          <t>Cross-cutting</t>
        </is>
      </c>
      <c r="C175" s="25" t="inlineStr">
        <is>
          <t>Cross-cutting checks</t>
        </is>
      </c>
      <c r="D175" s="26" t="inlineStr">
        <is>
          <t>Happy</t>
        </is>
      </c>
      <c r="E175" s="25" t="inlineStr">
        <is>
          <t>Messages behave</t>
        </is>
      </c>
      <c r="F175" s="25" t="inlineStr">
        <is>
          <t>Trigger a success and an error message.</t>
        </is>
      </c>
      <c r="G175" s="25" t="inlineStr">
        <is>
          <t>Messages appear bottom-right, are readable, and disappear after a few seconds without blocking anything.</t>
        </is>
      </c>
      <c r="H175" s="27" t="inlineStr">
        <is>
          <t>Pass</t>
        </is>
      </c>
      <c r="I175" s="28" t="inlineStr">
        <is>
          <t>Claude (automated, Playwright)</t>
        </is>
      </c>
      <c r="J175" s="29" t="n">
        <v>46294</v>
      </c>
      <c r="K175" s="27" t="n"/>
      <c r="L175" s="28" t="inlineStr">
        <is>
          <t>Automated pass, 5 checks.</t>
        </is>
      </c>
    </row>
    <row r="176" ht="30" customHeight="1">
      <c r="A176" s="24" t="inlineStr">
        <is>
          <t>XC-09</t>
        </is>
      </c>
      <c r="B176" s="25" t="inlineStr">
        <is>
          <t>Cross-cutting</t>
        </is>
      </c>
      <c r="C176" s="25" t="inlineStr">
        <is>
          <t>Cross-cutting checks</t>
        </is>
      </c>
      <c r="D176" s="26" t="inlineStr">
        <is>
          <t>Edge</t>
        </is>
      </c>
      <c r="E176" s="25" t="inlineStr">
        <is>
          <t>Refresh restores the sample data</t>
        </is>
      </c>
      <c r="F176" s="25" t="inlineStr">
        <is>
          <t>After changing things, refresh and sign in again.</t>
        </is>
      </c>
      <c r="G176" s="25" t="inlineStr">
        <is>
          <t>All original sample data is back. (This is expected; nothing is saved.)</t>
        </is>
      </c>
      <c r="H176" s="27" t="inlineStr">
        <is>
          <t>Pass</t>
        </is>
      </c>
      <c r="I176" s="28" t="inlineStr">
        <is>
          <t>Claude (automated, Playwright)</t>
        </is>
      </c>
      <c r="J176" s="29" t="n">
        <v>46294</v>
      </c>
      <c r="K176" s="27" t="n"/>
      <c r="L176" s="28" t="inlineStr">
        <is>
          <t>Automated pass, 5 checks.</t>
        </is>
      </c>
    </row>
    <row r="177" ht="30" customHeight="1">
      <c r="A177" s="24" t="inlineStr">
        <is>
          <t>DAT-01</t>
        </is>
      </c>
      <c r="B177" s="25" t="inlineStr">
        <is>
          <t>Data check</t>
        </is>
      </c>
      <c r="C177" s="25" t="inlineStr">
        <is>
          <t>Data sanity checks</t>
        </is>
      </c>
      <c r="D177" s="26" t="inlineStr">
        <is>
          <t>Happy</t>
        </is>
      </c>
      <c r="E177" s="25" t="inlineStr">
        <is>
          <t>SJ-2026-00101 matches its PDF</t>
        </is>
      </c>
      <c r="F177" s="25" t="inlineStr"/>
      <c r="G177" s="25" t="inlineStr">
        <is>
          <t>Charges ₱132,000.00, ₱18,400.00, ₱3,500.00 (total ₱153,900.00); quotation ₱174,500.00 (QT-2026-0041 v3).</t>
        </is>
      </c>
      <c r="H177" s="27" t="inlineStr">
        <is>
          <t>Pass</t>
        </is>
      </c>
      <c r="I177" s="28" t="inlineStr">
        <is>
          <t>Claude (automated, Playwright)</t>
        </is>
      </c>
      <c r="J177" s="29" t="n">
        <v>46294</v>
      </c>
      <c r="K177" s="27" t="n"/>
      <c r="L177" s="28" t="inlineStr">
        <is>
          <t>Automated pass, 6 checks.</t>
        </is>
      </c>
    </row>
    <row r="178" ht="173" customHeight="1">
      <c r="A178" s="24" t="inlineStr">
        <is>
          <t>DAT-02</t>
        </is>
      </c>
      <c r="B178" s="25" t="inlineStr">
        <is>
          <t>Data check</t>
        </is>
      </c>
      <c r="C178" s="25" t="inlineStr">
        <is>
          <t>Data sanity checks</t>
        </is>
      </c>
      <c r="D178" s="26" t="inlineStr">
        <is>
          <t>Happy</t>
        </is>
      </c>
      <c r="E178" s="25" t="inlineStr">
        <is>
          <t>The five money jobs add up</t>
        </is>
      </c>
      <c r="F178" s="25" t="inlineStr"/>
      <c r="G178" s="25" t="inlineStr">
        <is>
          <t>Money in · Money spent · Left over · Our fees · Final balance
SJ-2026-00060 · ₱175,000.00 · ₱150,400.00 · ₱24,600.00 · ₱8,500.00 (₱3,500.00 fee + ₱5,000.00 markup) · Refund due to client ₱16,100.00
SJ-2026-00101 · ₱140,000.00 · ₱150,400.00 · −₱10,400.00 · ₱3,500.00 · Balance to bill client ₱13,900.00
SJ-2026-00050 · ₱104,700.00 · ₱102,200.00 · ₱2,500.00 · ₱2,500.00 · Fully settled
SJ-2026-00070 · ₱160,000.00 · ₱145,700.00 · ₱14,300.00 · ₱3,500.00 · Refund due ₱10,800.00 (provisional)
SJ-2026-00120 · ₱106,000.00 · ₱96,000.00 · ₱10,000.00 · none yet · Not worked out before delivery; short by ₱8,400.00 for the ₱18,400.00 duty</t>
        </is>
      </c>
      <c r="H178" s="27" t="inlineStr">
        <is>
          <t>Pass</t>
        </is>
      </c>
      <c r="I178" s="28" t="inlineStr">
        <is>
          <t>Claude (automated, Playwright)</t>
        </is>
      </c>
      <c r="J178" s="29" t="n">
        <v>46294</v>
      </c>
      <c r="K178" s="27" t="n"/>
      <c r="L178" s="28" t="inlineStr">
        <is>
          <t>Automated pass, 28 checks.</t>
        </is>
      </c>
    </row>
    <row r="179" ht="43" customHeight="1">
      <c r="A179" s="24" t="inlineStr">
        <is>
          <t>DAT-03</t>
        </is>
      </c>
      <c r="B179" s="25" t="inlineStr">
        <is>
          <t>Data check</t>
        </is>
      </c>
      <c r="C179" s="25" t="inlineStr">
        <is>
          <t>Data sanity checks</t>
        </is>
      </c>
      <c r="D179" s="26" t="inlineStr">
        <is>
          <t>Happy</t>
        </is>
      </c>
      <c r="E179" s="25" t="inlineStr">
        <is>
          <t>Dashboard counts equal their lists</t>
        </is>
      </c>
      <c r="F179" s="25" t="inlineStr"/>
      <c r="G179" s="25" t="inlineStr">
        <is>
          <t>Each card equals the number of rows in its table (overdue 1, missing/rejected 7, exceptions 1, short on funds 1). The status ring total equals the number of jobs (12; 11 active plus 1 closed).</t>
        </is>
      </c>
      <c r="H179" s="27" t="inlineStr">
        <is>
          <t>Pass</t>
        </is>
      </c>
      <c r="I179" s="28" t="inlineStr">
        <is>
          <t>Claude (automated, Playwright)</t>
        </is>
      </c>
      <c r="J179" s="29" t="n">
        <v>46294</v>
      </c>
      <c r="K179" s="27" t="n"/>
      <c r="L179" s="28" t="inlineStr">
        <is>
          <t>Automated pass, 8 checks.</t>
        </is>
      </c>
    </row>
    <row r="180" ht="82" customHeight="1">
      <c r="A180" s="24" t="inlineStr">
        <is>
          <t>DAT-04</t>
        </is>
      </c>
      <c r="B180" s="25" t="inlineStr">
        <is>
          <t>Data check</t>
        </is>
      </c>
      <c r="C180" s="25" t="inlineStr">
        <is>
          <t>Data sanity checks</t>
        </is>
      </c>
      <c r="D180" s="26" t="inlineStr">
        <is>
          <t>Happy</t>
        </is>
      </c>
      <c r="E180" s="25" t="inlineStr">
        <is>
          <t>Task owners fit the role</t>
        </is>
      </c>
      <c r="F180" s="25" t="inlineStr"/>
      <c r="G180" s="25" t="inlineStr">
        <is>
          <t>Dispatcher owns commercial and customs tasks: Verify shipment documents complete, Lodge customs entry, Pay duties and assessment, Secure delivery order, Book delivery truck. Warehouse Crew own physical tasks: Deliver to consignee, Return empty container. The dispatcher owning a job's tasks is the dispatcher of that customer.</t>
        </is>
      </c>
      <c r="H180" s="27" t="inlineStr">
        <is>
          <t>Pass</t>
        </is>
      </c>
      <c r="I180" s="28" t="inlineStr">
        <is>
          <t>Claude (automated, Playwright)</t>
        </is>
      </c>
      <c r="J180" s="29" t="n">
        <v>46294</v>
      </c>
      <c r="K180" s="27" t="n"/>
      <c r="L180" s="28" t="inlineStr">
        <is>
          <t>Automated pass, 1 checks.</t>
        </is>
      </c>
    </row>
    <row r="181" ht="43" customHeight="1">
      <c r="A181" s="24" t="inlineStr">
        <is>
          <t>DAT-05</t>
        </is>
      </c>
      <c r="B181" s="25" t="inlineStr">
        <is>
          <t>Data check</t>
        </is>
      </c>
      <c r="C181" s="25" t="inlineStr">
        <is>
          <t>Data sanity checks</t>
        </is>
      </c>
      <c r="D181" s="26" t="inlineStr">
        <is>
          <t>Happy</t>
        </is>
      </c>
      <c r="E181" s="25" t="inlineStr">
        <is>
          <t>No customer contact shares a name with staff</t>
        </is>
      </c>
      <c r="F181" s="25" t="inlineStr"/>
      <c r="G181" s="25" t="inlineStr">
        <is>
          <t>Customer contacts (Ana Reyes, Marco Villanueva, Liza Fernandez, Ramon Cruz, Gloria Tan) differ from staff names (Ana Cruz, Cathy Lim, Grace Tan and so on).</t>
        </is>
      </c>
      <c r="H181" s="27" t="inlineStr">
        <is>
          <t>Pass</t>
        </is>
      </c>
      <c r="I181" s="28" t="inlineStr">
        <is>
          <t>Claude (automated, Playwright)</t>
        </is>
      </c>
      <c r="J181" s="29" t="n">
        <v>46294</v>
      </c>
      <c r="K181" s="27" t="n"/>
      <c r="L181" s="28" t="inlineStr">
        <is>
          <t>Automated pass, 2 checks. Note: First names overlap (allowed, full names differ): Ana Reyes</t>
        </is>
      </c>
    </row>
    <row r="182" ht="56" customHeight="1">
      <c r="A182" s="24" t="inlineStr">
        <is>
          <t>DAT-06</t>
        </is>
      </c>
      <c r="B182" s="25" t="inlineStr">
        <is>
          <t>Data check</t>
        </is>
      </c>
      <c r="C182" s="25" t="inlineStr">
        <is>
          <t>Data sanity checks</t>
        </is>
      </c>
      <c r="D182" s="26" t="inlineStr">
        <is>
          <t>Happy</t>
        </is>
      </c>
      <c r="E182" s="25" t="inlineStr">
        <is>
          <t>Dates are believable</t>
        </is>
      </c>
      <c r="F182" s="25" t="inlineStr"/>
      <c r="G182" s="25" t="inlineStr">
        <is>
          <t>No job has activity before it was created. Audit history for each job starts with "Job created". Deposits and payments fall between job creation and today (28 Sep 2026). Completed jobs show delivery dates before their billing-ready date.</t>
        </is>
      </c>
      <c r="H182" s="27" t="inlineStr">
        <is>
          <t>Fail</t>
        </is>
      </c>
      <c r="I182" s="28" t="inlineStr">
        <is>
          <t>Claude (automated, Playwright)</t>
        </is>
      </c>
      <c r="J182" s="29" t="n">
        <v>46294</v>
      </c>
      <c r="K182" s="27" t="inlineStr">
        <is>
          <t>D-002</t>
        </is>
      </c>
      <c r="L182" s="28" t="inlineStr">
        <is>
          <t>Automated FAIL: Dates are believable / every job history starts with "Job created": expected "" but got "SJ-2026-00101: history starts with "Funds received" (10 Sep 2026 3:00 PM), not "Job created" (13 Sep 2026 4:10 PM) ;; SJ-2026-00101: "Funds received" 10 Sep 2026 3:00 PM is before the job was created (13 Sep 2026 4:10 PM) ;; SJ-2026-00101: deposit 10 Sep 2026 (135000) is before the job was created (13 Sep 2026 4:10 PM) ;; SJ-2026-00101: task "Verify shipment documents complete" completed 2026-09-10, before the job was created (13 Sep 2026 4:10 PM) ;; SJ-2026-00101: task "Lodge customs entry" completed 2026-09-11, before the job was created (13 Sep 2026 4:10 PM) ;; SJ-2026-00101: task "Pay duties and assessment" completed 2026-09-12, before the job was created (13 Sep 2026 4:10 PM) ;; SJ-2026-00088: task "Verify shipment documents complete" completed 2026-09-10, before the job was created (16 Sep 2026 9:05 AM) ;; SJ-2026-00082: task "Verify shipment documents complete" completed 2026-09-10, before the job was created (12 Sep 2026 9:05 AM) ;; SJ-2026-00130: task "Verify shipment documents complete" completed 2026-09-10, before the job was created (14 Sep 2026 9:05 AM) ;; SJ-2026-00130: task "Lodge customs entry" completed 2026-09-11, before the job was created (14 Sep 2026 9:05 AM) ;; SJ-2026-00065: task "Verify shipment documents complete" completed 2026-09-10, before the job was created (13 Sep 2026 9:05 AM) ;; SJ-2026-00065: task "Lodge customs entry" completed 2026-09-11, before the job was created (13 Sep 2026 9:05 AM) ;; SJ-2026-00120: task "Verify shipment documents complete" completed 2026-09-10, before the job was created (14 Sep 2026 9:05 AM) ;; SJ-2026-00120: task "Lodge customs entry" completed 2026-09-11, before the job was created (14 Sep 2026 9:05 AM)"</t>
        </is>
      </c>
    </row>
    <row r="183" ht="30" customHeight="1">
      <c r="A183" s="24" t="inlineStr">
        <is>
          <t>DAT-07</t>
        </is>
      </c>
      <c r="B183" s="25" t="inlineStr">
        <is>
          <t>Data check</t>
        </is>
      </c>
      <c r="C183" s="25" t="inlineStr">
        <is>
          <t>Data sanity checks</t>
        </is>
      </c>
      <c r="D183" s="26" t="inlineStr">
        <is>
          <t>Happy</t>
        </is>
      </c>
      <c r="E183" s="25" t="inlineStr">
        <is>
          <t>IDs are unique and tidy</t>
        </is>
      </c>
      <c r="F183" s="25" t="inlineStr"/>
      <c r="G183" s="25" t="inlineStr">
        <is>
          <t>Jobs SJ-2026-000NN, inquiries INQ-2026-00NN, quotations QT-2026-00NN. BL and container numbers are different on every job.</t>
        </is>
      </c>
      <c r="H183" s="27" t="inlineStr">
        <is>
          <t>Pass</t>
        </is>
      </c>
      <c r="I183" s="28" t="inlineStr">
        <is>
          <t>Claude (automated, Playwright)</t>
        </is>
      </c>
      <c r="J183" s="29" t="n">
        <v>46294</v>
      </c>
      <c r="K183" s="27" t="n"/>
      <c r="L183" s="28" t="inlineStr">
        <is>
          <t>Automated pass, 1 checks. Note: Plan pattern "SJ-2026-000NN" does not literally fit SJ-2026-00101/00110/00120/00130 (three-digit numbers); IDs are consistently SJ-2026-00NNN, so treated as tidy</t>
        </is>
      </c>
    </row>
    <row r="184" ht="18" customHeight="1">
      <c r="A184" s="24" t="inlineStr">
        <is>
          <t>DAT-08</t>
        </is>
      </c>
      <c r="B184" s="25" t="inlineStr">
        <is>
          <t>Data check</t>
        </is>
      </c>
      <c r="C184" s="25" t="inlineStr">
        <is>
          <t>Data sanity checks</t>
        </is>
      </c>
      <c r="D184" s="26" t="inlineStr">
        <is>
          <t>Happy</t>
        </is>
      </c>
      <c r="E184" s="25" t="inlineStr">
        <is>
          <t>Every role has an active person</t>
        </is>
      </c>
      <c r="F184" s="25" t="inlineStr"/>
      <c r="G184" s="25" t="inlineStr">
        <is>
          <t>Each of the five roles is offered on the account picker.</t>
        </is>
      </c>
      <c r="H184" s="27" t="inlineStr">
        <is>
          <t>Pass</t>
        </is>
      </c>
      <c r="I184" s="28" t="inlineStr">
        <is>
          <t>Claude (automated, Playwright)</t>
        </is>
      </c>
      <c r="J184" s="29" t="n">
        <v>46294</v>
      </c>
      <c r="K184" s="27" t="n"/>
      <c r="L184" s="28" t="inlineStr">
        <is>
          <t>Automated pass, 6 checks.</t>
        </is>
      </c>
    </row>
  </sheetData>
  <autoFilter ref="A1:L184"/>
  <conditionalFormatting sqref="H2:H184">
    <cfRule type="cellIs" priority="1" operator="equal" dxfId="1">
      <formula>"Pass"</formula>
    </cfRule>
    <cfRule type="cellIs" priority="2" operator="equal" dxfId="2">
      <formula>"Fail"</formula>
    </cfRule>
    <cfRule type="cellIs" priority="3" operator="equal" dxfId="3">
      <formula>"Blocked"</formula>
    </cfRule>
    <cfRule type="cellIs" priority="4" operator="equal" dxfId="4">
      <formula>"Not run"</formula>
    </cfRule>
  </conditionalFormatting>
  <dataValidations count="2">
    <dataValidation sqref="H2:H184" showDropDown="0" showInputMessage="0" showErrorMessage="1" allowBlank="0" errorTitle="Status" error="Choose Not run, Pass, Fail or Blocked." type="list">
      <formula1>"Not run,Pass,Fail,Blocked"</formula1>
    </dataValidation>
    <dataValidation sqref="J2:J184" showDropDown="0" showInputMessage="0" showErrorMessage="1" allowBlank="1" errorTitle="Date" error="Enter a date, for example 29 Sep 2026." type="date" operator="greaterThan">
      <formula1>36526</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1F7A55"/>
    <outlinePr summaryBelow="1" summaryRight="1"/>
    <pageSetUpPr fitToPage="1"/>
  </sheetPr>
  <dimension ref="A1:K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6" customWidth="1" min="3" max="3"/>
    <col width="20" customWidth="1" min="4" max="4"/>
    <col width="60" customWidth="1" min="5" max="5"/>
    <col width="60" customWidth="1" min="6" max="6"/>
    <col width="12" customWidth="1" min="7" max="7"/>
    <col width="14" customWidth="1" min="8" max="8"/>
    <col width="13" customWidth="1" min="9" max="9"/>
    <col width="12" customWidth="1" min="10" max="10"/>
    <col width="32" customWidth="1" min="11" max="11"/>
  </cols>
  <sheetData>
    <row r="1" ht="30" customHeight="1">
      <c r="A1" s="9" t="inlineStr">
        <is>
          <t>Journey</t>
        </is>
      </c>
      <c r="B1" s="9" t="inlineStr">
        <is>
          <t>Journey name</t>
        </is>
      </c>
      <c r="C1" s="9" t="inlineStr">
        <is>
          <t>Step</t>
        </is>
      </c>
      <c r="D1" s="9" t="inlineStr">
        <is>
          <t>Who</t>
        </is>
      </c>
      <c r="E1" s="9" t="inlineStr">
        <is>
          <t>Do this</t>
        </is>
      </c>
      <c r="F1" s="9" t="inlineStr">
        <is>
          <t>Checkpoint (expected)</t>
        </is>
      </c>
      <c r="G1" s="9" t="inlineStr">
        <is>
          <t>Status</t>
        </is>
      </c>
      <c r="H1" s="9" t="inlineStr">
        <is>
          <t>Tester</t>
        </is>
      </c>
      <c r="I1" s="9" t="inlineStr">
        <is>
          <t>Date tested</t>
        </is>
      </c>
      <c r="J1" s="9" t="inlineStr">
        <is>
          <t>Defect ID</t>
        </is>
      </c>
      <c r="K1" s="9" t="inlineStr">
        <is>
          <t>Notes</t>
        </is>
      </c>
    </row>
    <row r="2" ht="43" customHeight="1">
      <c r="A2" s="24" t="inlineStr">
        <is>
          <t>E2E-01</t>
        </is>
      </c>
      <c r="B2" s="25" t="inlineStr">
        <is>
          <t>Happy path: from first inquiry to money settled, with the customer watching</t>
        </is>
      </c>
      <c r="C2" s="26" t="n">
        <v>1</v>
      </c>
      <c r="D2" s="25" t="inlineStr">
        <is>
          <t>Dispatcher (Ana)</t>
        </is>
      </c>
      <c r="E2" s="25" t="inlineStr">
        <is>
          <t>Open INQ-2026-0043 (New). Click Create quotation.</t>
        </is>
      </c>
      <c r="F2" s="25" t="inlineStr">
        <is>
          <t>Quotation QT-2026-0044 at ₱150,000.00, status Pending customer approval. Inquiry now Quoted.</t>
        </is>
      </c>
      <c r="G2" s="27" t="inlineStr">
        <is>
          <t>Pass</t>
        </is>
      </c>
      <c r="H2" s="28" t="inlineStr">
        <is>
          <t>Claude (automated, Playwright)</t>
        </is>
      </c>
      <c r="I2" s="29" t="n">
        <v>46294</v>
      </c>
      <c r="J2" s="27" t="n"/>
      <c r="K2" s="28" t="inlineStr">
        <is>
          <t>Automated pass, 5 checks.</t>
        </is>
      </c>
    </row>
    <row r="3" ht="43" customHeight="1">
      <c r="A3" s="24" t="inlineStr">
        <is>
          <t>E2E-01</t>
        </is>
      </c>
      <c r="B3" s="25" t="inlineStr">
        <is>
          <t>Happy path: from first inquiry to money settled, with the customer watching</t>
        </is>
      </c>
      <c r="C3" s="26" t="n">
        <v>2</v>
      </c>
      <c r="D3" s="25" t="inlineStr">
        <is>
          <t>Dispatcher</t>
        </is>
      </c>
      <c r="E3" s="25" t="inlineStr">
        <is>
          <t>Record customer approval / conforme as Liza Fernandez, then Convert to Shipment Job, then Create Shipment Job.</t>
        </is>
      </c>
      <c r="F3" s="25" t="inlineStr">
        <is>
          <t>Job SJ-2026-00123 exists for Pacific Rim, status Booked, five documents Missing.</t>
        </is>
      </c>
      <c r="G3" s="27" t="inlineStr">
        <is>
          <t>Pass</t>
        </is>
      </c>
      <c r="H3" s="28" t="inlineStr">
        <is>
          <t>Claude (automated, Playwright)</t>
        </is>
      </c>
      <c r="I3" s="29" t="n">
        <v>46294</v>
      </c>
      <c r="J3" s="27" t="n"/>
      <c r="K3" s="28" t="inlineStr">
        <is>
          <t>Automated pass, 4 checks.</t>
        </is>
      </c>
    </row>
    <row r="4" ht="43" customHeight="1">
      <c r="A4" s="24" t="inlineStr">
        <is>
          <t>E2E-01</t>
        </is>
      </c>
      <c r="B4" s="25" t="inlineStr">
        <is>
          <t>Happy path: from first inquiry to money settled, with the customer watching</t>
        </is>
      </c>
      <c r="C4" s="26" t="n">
        <v>3</v>
      </c>
      <c r="D4" s="25" t="inlineStr">
        <is>
          <t>Customer</t>
        </is>
      </c>
      <c r="E4" s="25" t="inlineStr">
        <is>
          <t>Open the customer tracking page and enter SJ-2026-00123.</t>
        </is>
      </c>
      <c r="F4" s="25" t="inlineStr">
        <is>
          <t>Headline Booked, "Your booking is confirmed.", "Estimated arrival to be confirmed".</t>
        </is>
      </c>
      <c r="G4" s="27" t="inlineStr">
        <is>
          <t>Pass</t>
        </is>
      </c>
      <c r="H4" s="28" t="inlineStr">
        <is>
          <t>Claude (automated, Playwright)</t>
        </is>
      </c>
      <c r="I4" s="29" t="n">
        <v>46294</v>
      </c>
      <c r="J4" s="27" t="n"/>
      <c r="K4" s="28" t="inlineStr">
        <is>
          <t>Automated pass, 3 checks.</t>
        </is>
      </c>
    </row>
    <row r="5" ht="43" customHeight="1">
      <c r="A5" s="24" t="inlineStr">
        <is>
          <t>E2E-01</t>
        </is>
      </c>
      <c r="B5" s="25" t="inlineStr">
        <is>
          <t>Happy path: from first inquiry to money settled, with the customer watching</t>
        </is>
      </c>
      <c r="C5" s="26" t="n">
        <v>4</v>
      </c>
      <c r="D5" s="25" t="inlineStr">
        <is>
          <t>Dispatcher</t>
        </is>
      </c>
      <c r="E5" s="25" t="inlineStr">
        <is>
          <t>Documents tab: Upload each of the five documents, then Review, Approve each. On Tasks, complete "Verify shipment documents complete" with a file.</t>
        </is>
      </c>
      <c r="F5" s="25" t="inlineStr">
        <is>
          <t>All five Approved. Dashboard "Missing / rejected docs" back to 5 for Ana.</t>
        </is>
      </c>
      <c r="G5" s="27" t="inlineStr">
        <is>
          <t>Pass</t>
        </is>
      </c>
      <c r="H5" s="28" t="inlineStr">
        <is>
          <t>Claude (automated, Playwright)</t>
        </is>
      </c>
      <c r="I5" s="29" t="n">
        <v>46294</v>
      </c>
      <c r="J5" s="27" t="n"/>
      <c r="K5" s="28" t="inlineStr">
        <is>
          <t>Automated pass, 2 checks.</t>
        </is>
      </c>
    </row>
    <row r="6" ht="43" customHeight="1">
      <c r="A6" s="24" t="inlineStr">
        <is>
          <t>E2E-01</t>
        </is>
      </c>
      <c r="B6" s="25" t="inlineStr">
        <is>
          <t>Happy path: from first inquiry to money settled, with the customer watching</t>
        </is>
      </c>
      <c r="C6" s="26" t="n">
        <v>5</v>
      </c>
      <c r="D6" s="25" t="inlineStr">
        <is>
          <t>Dispatcher</t>
        </is>
      </c>
      <c r="E6" s="25" t="inlineStr">
        <is>
          <t>Update status three times: Documentation, Sailed, Arrived at Port.</t>
        </is>
      </c>
      <c r="F6" s="25" t="inlineStr">
        <is>
          <t>Customer page after Sailed reads "On the water", after Arrived at Port reads "Arrived at port".</t>
        </is>
      </c>
      <c r="G6" s="27" t="inlineStr">
        <is>
          <t>Pass</t>
        </is>
      </c>
      <c r="H6" s="28" t="inlineStr">
        <is>
          <t>Claude (automated, Playwright)</t>
        </is>
      </c>
      <c r="I6" s="29" t="n">
        <v>46294</v>
      </c>
      <c r="J6" s="27" t="n"/>
      <c r="K6" s="28" t="inlineStr">
        <is>
          <t>Automated pass, 2 checks.</t>
        </is>
      </c>
    </row>
    <row r="7" ht="56" customHeight="1">
      <c r="A7" s="24" t="inlineStr">
        <is>
          <t>E2E-01</t>
        </is>
      </c>
      <c r="B7" s="25" t="inlineStr">
        <is>
          <t>Happy path: from first inquiry to money settled, with the customer watching</t>
        </is>
      </c>
      <c r="C7" s="26" t="n">
        <v>6</v>
      </c>
      <c r="D7" s="25" t="inlineStr">
        <is>
          <t>Dispatcher</t>
        </is>
      </c>
      <c r="E7" s="25" t="inlineStr">
        <is>
          <t>Update status to Customs Clearance. In the Customs panel click Advance customs stage six times: Lodged, Assessment Pending, Payment Pending (choose Top1Movers), Payment Completed, Release Pending, Released.</t>
        </is>
      </c>
      <c r="F7" s="25" t="inlineStr">
        <is>
          <t>Panel track ends at Released. Customer page shows "Customs stage:" moving along and never shows the "Delayed" tag.</t>
        </is>
      </c>
      <c r="G7" s="27" t="inlineStr">
        <is>
          <t>Pass</t>
        </is>
      </c>
      <c r="H7" s="28" t="inlineStr">
        <is>
          <t>Claude (automated, Playwright)</t>
        </is>
      </c>
      <c r="I7" s="29" t="n">
        <v>46294</v>
      </c>
      <c r="J7" s="27" t="n"/>
      <c r="K7" s="28" t="inlineStr">
        <is>
          <t>Automated pass, 2 checks.</t>
        </is>
      </c>
    </row>
    <row r="8" ht="43" customHeight="1">
      <c r="A8" s="24" t="inlineStr">
        <is>
          <t>E2E-01</t>
        </is>
      </c>
      <c r="B8" s="25" t="inlineStr">
        <is>
          <t>Happy path: from first inquiry to money settled, with the customer watching</t>
        </is>
      </c>
      <c r="C8" s="26" t="n">
        <v>7</v>
      </c>
      <c r="D8" s="25" t="inlineStr">
        <is>
          <t>Dispatcher</t>
        </is>
      </c>
      <c r="E8" s="25" t="inlineStr">
        <is>
          <t>Complete tasks "Lodge customs entry" and "Pay duties and assessment" (files needed), "Secure delivery order" and "Book delivery truck". Then Update status to Out for Delivery.</t>
        </is>
      </c>
      <c r="F8" s="25" t="inlineStr">
        <is>
          <t>Job is Out for Delivery. Delivered cannot be picked from the list (gate note).</t>
        </is>
      </c>
      <c r="G8" s="27" t="inlineStr">
        <is>
          <t>Pass</t>
        </is>
      </c>
      <c r="H8" s="28" t="inlineStr">
        <is>
          <t>Claude (automated, Playwright)</t>
        </is>
      </c>
      <c r="I8" s="29" t="n">
        <v>46294</v>
      </c>
      <c r="J8" s="27" t="n"/>
      <c r="K8" s="28" t="inlineStr">
        <is>
          <t>Automated pass, 2 checks.</t>
        </is>
      </c>
    </row>
    <row r="9" ht="43" customHeight="1">
      <c r="A9" s="24" t="inlineStr">
        <is>
          <t>E2E-01</t>
        </is>
      </c>
      <c r="B9" s="25" t="inlineStr">
        <is>
          <t>Happy path: from first inquiry to money settled, with the customer watching</t>
        </is>
      </c>
      <c r="C9" s="26" t="n">
        <v>8</v>
      </c>
      <c r="D9" s="25" t="inlineStr">
        <is>
          <t>Warehouse Crew (Ben)</t>
        </is>
      </c>
      <c r="E9" s="25" t="inlineStr">
        <is>
          <t>My Tasks, Confirm + POD on SJ-2026-00123 with receiver J. Ramos and a file. Then complete "Deliver to consignee" (file) and "Return empty container".</t>
        </is>
      </c>
      <c r="F9" s="25" t="inlineStr">
        <is>
          <t>Message "Delivery confirmed in full." Job Delivered. Customer page shows Delivered, the delivery panel and proof of delivery.</t>
        </is>
      </c>
      <c r="G9" s="27" t="inlineStr">
        <is>
          <t>Pass</t>
        </is>
      </c>
      <c r="H9" s="28" t="inlineStr">
        <is>
          <t>Claude (automated, Playwright)</t>
        </is>
      </c>
      <c r="I9" s="29" t="n">
        <v>46294</v>
      </c>
      <c r="J9" s="27" t="n"/>
      <c r="K9" s="28" t="inlineStr">
        <is>
          <t>Automated pass, 4 checks.</t>
        </is>
      </c>
    </row>
    <row r="10" ht="56" customHeight="1">
      <c r="A10" s="24" t="inlineStr">
        <is>
          <t>E2E-01</t>
        </is>
      </c>
      <c r="B10" s="25" t="inlineStr">
        <is>
          <t>Happy path: from first inquiry to money settled, with the customer watching</t>
        </is>
      </c>
      <c r="C10" s="26" t="n">
        <v>9</v>
      </c>
      <c r="D10" s="25" t="inlineStr">
        <is>
          <t>Manager (Grace)</t>
        </is>
      </c>
      <c r="E10" s="25" t="inlineStr">
        <is>
          <t>Charges, Add funds received 200000. Add charge: Ocean freight Freight Reimbursable 120000 paid, Customs duty Duties &amp; Taxes Reimbursable 25000 paid, Documentation fee Fees Service fee 3500. Attach a file to each paid charge.</t>
        </is>
      </c>
      <c r="F10" s="25" t="inlineStr">
        <is>
          <t>Money in ₱200,000.00, Money spent ₱145,000.00, Left over ₱55,000.00. Final balance "Refund due to client: ₱51,500.00". Cost &amp; margin: quoted ₱150,000.00, margin ₱3,500.00, 2.4%, "Within quote". No receipt-missing tags. All six checklist lines Done.</t>
        </is>
      </c>
      <c r="G10" s="27" t="inlineStr">
        <is>
          <t>Pass</t>
        </is>
      </c>
      <c r="H10" s="28" t="inlineStr">
        <is>
          <t>Claude (automated, Playwright)</t>
        </is>
      </c>
      <c r="I10" s="29" t="n">
        <v>46294</v>
      </c>
      <c r="J10" s="27" t="n"/>
      <c r="K10" s="28" t="inlineStr">
        <is>
          <t>Automated pass, 10 checks.</t>
        </is>
      </c>
    </row>
    <row r="11" ht="43" customHeight="1">
      <c r="A11" s="24" t="inlineStr">
        <is>
          <t>E2E-01</t>
        </is>
      </c>
      <c r="B11" s="25" t="inlineStr">
        <is>
          <t>Happy path: from first inquiry to money settled, with the customer watching</t>
        </is>
      </c>
      <c r="C11" s="26" t="n">
        <v>10</v>
      </c>
      <c r="D11" s="25" t="inlineStr">
        <is>
          <t>Manager</t>
        </is>
      </c>
      <c r="E11" s="25" t="inlineStr">
        <is>
          <t>Click Mark Ready for Finance.</t>
        </is>
      </c>
      <c r="F11" s="25" t="inlineStr">
        <is>
          <t>Message "SJ-2026-00123 is billing ready — handed to Finance." Status Billing Ready.</t>
        </is>
      </c>
      <c r="G11" s="27" t="inlineStr">
        <is>
          <t>Pass</t>
        </is>
      </c>
      <c r="H11" s="28" t="inlineStr">
        <is>
          <t>Claude (automated, Playwright)</t>
        </is>
      </c>
      <c r="I11" s="29" t="n">
        <v>46294</v>
      </c>
      <c r="J11" s="27" t="n"/>
      <c r="K11" s="28" t="inlineStr">
        <is>
          <t>Automated pass, 2 checks.</t>
        </is>
      </c>
    </row>
    <row r="12" ht="43" customHeight="1">
      <c r="A12" s="24" t="inlineStr">
        <is>
          <t>E2E-01</t>
        </is>
      </c>
      <c r="B12" s="25" t="inlineStr">
        <is>
          <t>Happy path: from first inquiry to money settled, with the customer watching</t>
        </is>
      </c>
      <c r="C12" s="26" t="n">
        <v>11</v>
      </c>
      <c r="D12" s="25" t="inlineStr">
        <is>
          <t>Finance (Paolo)</t>
        </is>
      </c>
      <c r="E12" s="25" t="inlineStr">
        <is>
          <t>Open the job's Charges, then Open Billing Summary.</t>
        </is>
      </c>
      <c r="F12" s="25" t="inlineStr">
        <is>
          <t>Summary shows "Mock document", the split (Reimbursable ₱145,000.00, Service fees ₱3,500.00), Money in/spent/left over and Refund due to client ₱51,500.00. Every control is read-only.</t>
        </is>
      </c>
      <c r="G12" s="27" t="inlineStr">
        <is>
          <t>Pass</t>
        </is>
      </c>
      <c r="H12" s="28" t="inlineStr">
        <is>
          <t>Claude (automated, Playwright)</t>
        </is>
      </c>
      <c r="I12" s="29" t="n">
        <v>46294</v>
      </c>
      <c r="J12" s="27" t="n"/>
      <c r="K12" s="28" t="inlineStr">
        <is>
          <t>Automated pass, 7 checks.</t>
        </is>
      </c>
    </row>
    <row r="13" ht="43" customHeight="1">
      <c r="A13" s="24" t="inlineStr">
        <is>
          <t>E2E-01</t>
        </is>
      </c>
      <c r="B13" s="25" t="inlineStr">
        <is>
          <t>Happy path: from first inquiry to money settled, with the customer watching</t>
        </is>
      </c>
      <c r="C13" s="26" t="n">
        <v>12</v>
      </c>
      <c r="D13" s="25" t="inlineStr">
        <is>
          <t>Manager</t>
        </is>
      </c>
      <c r="E13" s="25" t="inlineStr">
        <is>
          <t>Update status to Closed.</t>
        </is>
      </c>
      <c r="F13" s="25" t="inlineStr">
        <is>
          <t>Status Closed. Customer page still says Delivered.</t>
        </is>
      </c>
      <c r="G13" s="27" t="inlineStr">
        <is>
          <t>Pass</t>
        </is>
      </c>
      <c r="H13" s="28" t="inlineStr">
        <is>
          <t>Claude (automated, Playwright)</t>
        </is>
      </c>
      <c r="I13" s="29" t="n">
        <v>46294</v>
      </c>
      <c r="J13" s="27" t="n"/>
      <c r="K13" s="28" t="inlineStr">
        <is>
          <t>Automated pass, 2 checks.</t>
        </is>
      </c>
    </row>
    <row r="14" ht="56" customHeight="1">
      <c r="A14" s="24" t="inlineStr">
        <is>
          <t>E2E-01</t>
        </is>
      </c>
      <c r="B14" s="25" t="inlineStr">
        <is>
          <t>Happy path: from first inquiry to money settled, with the customer watching</t>
        </is>
      </c>
      <c r="C14" s="26" t="n">
        <v>13</v>
      </c>
      <c r="D14" s="25" t="inlineStr">
        <is>
          <t>Admin (Mark)</t>
        </is>
      </c>
      <c r="E14" s="25" t="inlineStr">
        <is>
          <t>Audit Trail, All time. Find entries for SJ-2026-00123.</t>
        </is>
      </c>
      <c r="F14" s="25" t="inlineStr">
        <is>
          <t>Entries in time order from "Job created" (Ana Cruz) through document, status, customs, task, delivery (Ben Santos), funds and charge (Grace Tan), billing ready and close entries. Each actor is the real person who did it, with their role in brackets.</t>
        </is>
      </c>
      <c r="G14" s="27" t="inlineStr">
        <is>
          <t>Pass</t>
        </is>
      </c>
      <c r="H14" s="28" t="inlineStr">
        <is>
          <t>Claude (automated, Playwright)</t>
        </is>
      </c>
      <c r="I14" s="29" t="n">
        <v>46294</v>
      </c>
      <c r="J14" s="27" t="n"/>
      <c r="K14" s="28" t="inlineStr">
        <is>
          <t>Automated pass, 14 checks.</t>
        </is>
      </c>
    </row>
    <row r="15" ht="43" customHeight="1">
      <c r="A15" s="24" t="inlineStr">
        <is>
          <t>E2E-02</t>
        </is>
      </c>
      <c r="B15" s="25" t="inlineStr">
        <is>
          <t>Something went wrong: a shipment in trouble, then recovered (SJ-2026-00065)</t>
        </is>
      </c>
      <c r="C15" s="26" t="n">
        <v>1</v>
      </c>
      <c r="D15" s="25" t="inlineStr">
        <is>
          <t>Customer</t>
        </is>
      </c>
      <c r="E15" s="25" t="inlineStr">
        <is>
          <t>Track SJ-2026-00065.</t>
        </is>
      </c>
      <c r="F15" s="25" t="inlineStr">
        <is>
          <t>"Your shipment is delayed" and "Action needed from you" (duties waiting on the client). No exception details.</t>
        </is>
      </c>
      <c r="G15" s="27" t="inlineStr">
        <is>
          <t>Pass</t>
        </is>
      </c>
      <c r="H15" s="28" t="inlineStr">
        <is>
          <t>Claude (automated, Playwright)</t>
        </is>
      </c>
      <c r="I15" s="29" t="n">
        <v>46294</v>
      </c>
      <c r="J15" s="27" t="n"/>
      <c r="K15" s="28" t="inlineStr">
        <is>
          <t>Automated pass, 3 checks.</t>
        </is>
      </c>
    </row>
    <row r="16" ht="43" customHeight="1">
      <c r="A16" s="24" t="inlineStr">
        <is>
          <t>E2E-02</t>
        </is>
      </c>
      <c r="B16" s="25" t="inlineStr">
        <is>
          <t>Something went wrong: a shipment in trouble, then recovered (SJ-2026-00065)</t>
        </is>
      </c>
      <c r="C16" s="26" t="n">
        <v>2</v>
      </c>
      <c r="D16" s="25" t="inlineStr">
        <is>
          <t>Dispatcher</t>
        </is>
      </c>
      <c r="E16" s="25" t="inlineStr">
        <is>
          <t>Open the job. Try Update status.</t>
        </is>
      </c>
      <c r="F16" s="25" t="inlineStr">
        <is>
          <t>Blocked: "This job is on hold". No Review button on the exception.</t>
        </is>
      </c>
      <c r="G16" s="27" t="inlineStr">
        <is>
          <t>Pass</t>
        </is>
      </c>
      <c r="H16" s="28" t="inlineStr">
        <is>
          <t>Claude (automated, Playwright)</t>
        </is>
      </c>
      <c r="I16" s="29" t="n">
        <v>46294</v>
      </c>
      <c r="J16" s="27" t="n"/>
      <c r="K16" s="28" t="inlineStr">
        <is>
          <t>Automated pass, 2 checks.</t>
        </is>
      </c>
    </row>
    <row r="17" ht="43" customHeight="1">
      <c r="A17" s="24" t="inlineStr">
        <is>
          <t>E2E-02</t>
        </is>
      </c>
      <c r="B17" s="25" t="inlineStr">
        <is>
          <t>Something went wrong: a shipment in trouble, then recovered (SJ-2026-00065)</t>
        </is>
      </c>
      <c r="C17" s="26" t="n">
        <v>3</v>
      </c>
      <c r="D17" s="25" t="inlineStr">
        <is>
          <t>Manager</t>
        </is>
      </c>
      <c r="E17" s="25" t="inlineStr">
        <is>
          <t>Exceptions, Review, task Re-issue commercial invoice with matching HS code owner Cathy Lim, Approve &amp; assign.</t>
        </is>
      </c>
      <c r="F17" s="25" t="inlineStr">
        <is>
          <t>Hold released, status Customs Clearance. Dashboard Open exceptions 0.</t>
        </is>
      </c>
      <c r="G17" s="27" t="inlineStr">
        <is>
          <t>Pass</t>
        </is>
      </c>
      <c r="H17" s="28" t="inlineStr">
        <is>
          <t>Claude (automated, Playwright)</t>
        </is>
      </c>
      <c r="I17" s="29" t="n">
        <v>46294</v>
      </c>
      <c r="J17" s="27" t="n"/>
      <c r="K17" s="28" t="inlineStr">
        <is>
          <t>Automated pass, 2 checks.</t>
        </is>
      </c>
    </row>
    <row r="18" ht="43" customHeight="1">
      <c r="A18" s="24" t="inlineStr">
        <is>
          <t>E2E-02</t>
        </is>
      </c>
      <c r="B18" s="25" t="inlineStr">
        <is>
          <t>Something went wrong: a shipment in trouble, then recovered (SJ-2026-00065)</t>
        </is>
      </c>
      <c r="C18" s="26" t="n">
        <v>4</v>
      </c>
      <c r="D18" s="25" t="inlineStr">
        <is>
          <t>Manager</t>
        </is>
      </c>
      <c r="E18" s="25" t="inlineStr">
        <is>
          <t>Charges: Add funds received 30000 (the client released funds). Add charge Customs duty, Duties &amp; Taxes, Reimbursable, 25000, Quoted Yes, Not paid yet, due 30 Sep 2026.</t>
        </is>
      </c>
      <c r="F18" s="25" t="inlineStr">
        <is>
          <t>No shortfall banner (Left over ₱30,000.00 covers ₱25,000.00).</t>
        </is>
      </c>
      <c r="G18" s="27" t="inlineStr">
        <is>
          <t>Pass</t>
        </is>
      </c>
      <c r="H18" s="28" t="inlineStr">
        <is>
          <t>Claude (automated, Playwright)</t>
        </is>
      </c>
      <c r="I18" s="29" t="n">
        <v>46294</v>
      </c>
      <c r="J18" s="27" t="n"/>
      <c r="K18" s="28" t="inlineStr">
        <is>
          <t>Automated pass, 2 checks.</t>
        </is>
      </c>
    </row>
    <row r="19" ht="43" customHeight="1">
      <c r="A19" s="24" t="inlineStr">
        <is>
          <t>E2E-02</t>
        </is>
      </c>
      <c r="B19" s="25" t="inlineStr">
        <is>
          <t>Something went wrong: a shipment in trouble, then recovered (SJ-2026-00065)</t>
        </is>
      </c>
      <c r="C19" s="26" t="n">
        <v>5</v>
      </c>
      <c r="D19" s="25" t="inlineStr">
        <is>
          <t>Dispatcher</t>
        </is>
      </c>
      <c r="E19" s="25" t="inlineStr">
        <is>
          <t>Tasks: complete the corrective task (file needed) and "Pay duties and assessment" (file needed). Advance customs stage to Payment Completed.</t>
        </is>
      </c>
      <c r="F19" s="25" t="inlineStr">
        <is>
          <t>Customs panel moves on.</t>
        </is>
      </c>
      <c r="G19" s="27" t="inlineStr">
        <is>
          <t>Pass</t>
        </is>
      </c>
      <c r="H19" s="28" t="inlineStr">
        <is>
          <t>Claude (automated, Playwright)</t>
        </is>
      </c>
      <c r="I19" s="29" t="n">
        <v>46294</v>
      </c>
      <c r="J19" s="27" t="n"/>
      <c r="K19" s="28" t="inlineStr">
        <is>
          <t>Automated pass, 1 checks.</t>
        </is>
      </c>
    </row>
    <row r="20" ht="43" customHeight="1">
      <c r="A20" s="24" t="inlineStr">
        <is>
          <t>E2E-02</t>
        </is>
      </c>
      <c r="B20" s="25" t="inlineStr">
        <is>
          <t>Something went wrong: a shipment in trouble, then recovered (SJ-2026-00065)</t>
        </is>
      </c>
      <c r="C20" s="26" t="n">
        <v>6</v>
      </c>
      <c r="D20" s="25" t="inlineStr">
        <is>
          <t>Customer</t>
        </is>
      </c>
      <c r="E20" s="25" t="inlineStr">
        <is>
          <t>Reload SJ-2026-00065.</t>
        </is>
      </c>
      <c r="F20" s="25" t="inlineStr">
        <is>
          <t>"Your shipment is delayed" and "Action needed from you" are gone; timeline shows "Customs stage: Payment Completed." Pill On track.</t>
        </is>
      </c>
      <c r="G20" s="27" t="inlineStr">
        <is>
          <t>Pass</t>
        </is>
      </c>
      <c r="H20" s="28" t="inlineStr">
        <is>
          <t>Claude (automated, Playwright)</t>
        </is>
      </c>
      <c r="I20" s="29" t="n">
        <v>46294</v>
      </c>
      <c r="J20" s="27" t="n"/>
      <c r="K20" s="28" t="inlineStr">
        <is>
          <t>Automated pass, 4 checks.</t>
        </is>
      </c>
    </row>
    <row r="21" ht="56" customHeight="1">
      <c r="A21" s="24" t="inlineStr">
        <is>
          <t>E2E-03</t>
        </is>
      </c>
      <c r="B21" s="25" t="inlineStr">
        <is>
          <t>Something went wrong: a surprise charge on a delivered job (SJ-2026-00070)</t>
        </is>
      </c>
      <c r="C21" s="26" t="n">
        <v>1</v>
      </c>
      <c r="D21" s="25" t="inlineStr">
        <is>
          <t>Finance</t>
        </is>
      </c>
      <c r="E21" s="25" t="inlineStr">
        <is>
          <t>Open the job's Charges.</t>
        </is>
      </c>
      <c r="F21" s="25" t="inlineStr">
        <is>
          <t>"Needs client approval: Extra storage fee ₱6,800.00" with "Waiting on a Manager or Admin". Refund shown as provisional (₱10,800.00, "Not final yet"). Port handling fee shows Receipt missing.</t>
        </is>
      </c>
      <c r="G21" s="27" t="inlineStr">
        <is>
          <t>Pass</t>
        </is>
      </c>
      <c r="H21" s="28" t="inlineStr">
        <is>
          <t>Claude (automated, Playwright)</t>
        </is>
      </c>
      <c r="I21" s="29" t="n">
        <v>46294</v>
      </c>
      <c r="J21" s="27" t="n"/>
      <c r="K21" s="28" t="inlineStr">
        <is>
          <t>Automated pass, 3 checks.</t>
        </is>
      </c>
    </row>
    <row r="22" ht="43" customHeight="1">
      <c r="A22" s="24" t="inlineStr">
        <is>
          <t>E2E-03</t>
        </is>
      </c>
      <c r="B22" s="25" t="inlineStr">
        <is>
          <t>Something went wrong: a surprise charge on a delivered job (SJ-2026-00070)</t>
        </is>
      </c>
      <c r="C22" s="26" t="n">
        <v>2</v>
      </c>
      <c r="D22" s="25" t="inlineStr">
        <is>
          <t>Dispatcher</t>
        </is>
      </c>
      <c r="E22" s="25" t="inlineStr">
        <is>
          <t>Open the same job.</t>
        </is>
      </c>
      <c r="F22" s="25" t="inlineStr">
        <is>
          <t>No charges tab, no amounts, no funds wording.</t>
        </is>
      </c>
      <c r="G22" s="27" t="inlineStr">
        <is>
          <t>Pass</t>
        </is>
      </c>
      <c r="H22" s="28" t="inlineStr">
        <is>
          <t>Claude (automated, Playwright)</t>
        </is>
      </c>
      <c r="I22" s="29" t="n">
        <v>46294</v>
      </c>
      <c r="J22" s="27" t="n"/>
      <c r="K22" s="28" t="inlineStr">
        <is>
          <t>Automated pass, 2 checks.</t>
        </is>
      </c>
    </row>
    <row r="23" ht="43" customHeight="1">
      <c r="A23" s="24" t="inlineStr">
        <is>
          <t>E2E-03</t>
        </is>
      </c>
      <c r="B23" s="25" t="inlineStr">
        <is>
          <t>Something went wrong: a surprise charge on a delivered job (SJ-2026-00070)</t>
        </is>
      </c>
      <c r="C23" s="26" t="n">
        <v>3</v>
      </c>
      <c r="D23" s="25" t="inlineStr">
        <is>
          <t>Manager</t>
        </is>
      </c>
      <c r="E23" s="25" t="inlineStr">
        <is>
          <t>Complete "Return empty container". On Charges, Absorb cost with the reason Caused by our late truck booking.</t>
        </is>
      </c>
      <c r="F23" s="25" t="inlineStr">
        <is>
          <t>Money spent ₱138,900.00; refund ₱17,600.00; margin −₱3,300.00; checklist all Done.</t>
        </is>
      </c>
      <c r="G23" s="27" t="inlineStr">
        <is>
          <t>Pass</t>
        </is>
      </c>
      <c r="H23" s="28" t="inlineStr">
        <is>
          <t>Claude (automated, Playwright)</t>
        </is>
      </c>
      <c r="I23" s="29" t="n">
        <v>46294</v>
      </c>
      <c r="J23" s="27" t="n"/>
      <c r="K23" s="28" t="inlineStr">
        <is>
          <t>Automated pass, 4 checks.</t>
        </is>
      </c>
    </row>
    <row r="24" ht="43" customHeight="1">
      <c r="A24" s="24" t="inlineStr">
        <is>
          <t>E2E-03</t>
        </is>
      </c>
      <c r="B24" s="25" t="inlineStr">
        <is>
          <t>Something went wrong: a surprise charge on a delivered job (SJ-2026-00070)</t>
        </is>
      </c>
      <c r="C24" s="26" t="n">
        <v>4</v>
      </c>
      <c r="D24" s="25" t="inlineStr">
        <is>
          <t>Manager</t>
        </is>
      </c>
      <c r="E24" s="25" t="inlineStr">
        <is>
          <t>Mark Ready for Finance.</t>
        </is>
      </c>
      <c r="F24" s="25" t="inlineStr">
        <is>
          <t>Billing Ready.</t>
        </is>
      </c>
      <c r="G24" s="27" t="inlineStr">
        <is>
          <t>Pass</t>
        </is>
      </c>
      <c r="H24" s="28" t="inlineStr">
        <is>
          <t>Claude (automated, Playwright)</t>
        </is>
      </c>
      <c r="I24" s="29" t="n">
        <v>46294</v>
      </c>
      <c r="J24" s="27" t="n"/>
      <c r="K24" s="28" t="inlineStr">
        <is>
          <t>Automated pass, 1 checks.</t>
        </is>
      </c>
    </row>
    <row r="25" ht="108" customHeight="1">
      <c r="A25" s="24" t="inlineStr">
        <is>
          <t>E2E-03</t>
        </is>
      </c>
      <c r="B25" s="25" t="inlineStr">
        <is>
          <t>Something went wrong: a surprise charge on a delivered job (SJ-2026-00070)</t>
        </is>
      </c>
      <c r="C25" s="26" t="n">
        <v>5</v>
      </c>
      <c r="D25" s="25" t="inlineStr">
        <is>
          <t>Finance</t>
        </is>
      </c>
      <c r="E25" s="25" t="inlineStr">
        <is>
          <t>Open the Billing Summary.</t>
        </is>
      </c>
      <c r="F25" s="25" t="inlineStr">
        <is>
          <t>The Extra storage fee row is labelled "absorbed by Top1Movers, not billed". Split: Reimbursable costs ₱138,900.00, Service fees ₱3,500.00, Absorbed by Top1Movers ₱6,800.00, Total billed to client ₱142,400.00, Margin −₱3,300.00 (-2.3%). Client funds: Money in ₱160,000.00, Money spent ₱138,900.00, Left over ₱21,100.00, Our fees ₱3,500.00, Refund due to client ₱17,600.00. The Port handling fee is still flagged Receipt missing on the Charges tab (the mockup has no edit).</t>
        </is>
      </c>
      <c r="G25" s="27" t="inlineStr">
        <is>
          <t>Pass</t>
        </is>
      </c>
      <c r="H25" s="28" t="inlineStr">
        <is>
          <t>Claude (automated, Playwright)</t>
        </is>
      </c>
      <c r="I25" s="29" t="n">
        <v>46294</v>
      </c>
      <c r="J25" s="27" t="n"/>
      <c r="K25" s="28" t="inlineStr">
        <is>
          <t>Automated pass, 12 checks.</t>
        </is>
      </c>
    </row>
    <row r="26" ht="43" customHeight="1">
      <c r="A26" s="24" t="inlineStr">
        <is>
          <t>E2E-03</t>
        </is>
      </c>
      <c r="B26" s="25" t="inlineStr">
        <is>
          <t>Something went wrong: a surprise charge on a delivered job (SJ-2026-00070)</t>
        </is>
      </c>
      <c r="C26" s="26" t="n">
        <v>6</v>
      </c>
      <c r="D26" s="25" t="inlineStr">
        <is>
          <t>Admin</t>
        </is>
      </c>
      <c r="E26" s="25" t="inlineStr">
        <is>
          <t>Audit Trail.</t>
        </is>
      </c>
      <c r="F26" s="25" t="inlineStr">
        <is>
          <t>"Extra charge absorbed" with the reason and actor Grace Tan (Manager); a second person can read it.</t>
        </is>
      </c>
      <c r="G26" s="27" t="inlineStr">
        <is>
          <t>Pass</t>
        </is>
      </c>
      <c r="H26" s="28" t="inlineStr">
        <is>
          <t>Claude (automated, Playwright)</t>
        </is>
      </c>
      <c r="I26" s="29" t="n">
        <v>46294</v>
      </c>
      <c r="J26" s="27" t="n"/>
      <c r="K26" s="28" t="inlineStr">
        <is>
          <t>Automated pass, 1 checks.</t>
        </is>
      </c>
    </row>
    <row r="27" ht="43" customHeight="1">
      <c r="A27" s="24" t="inlineStr">
        <is>
          <t>E2E-04</t>
        </is>
      </c>
      <c r="B27" s="25" t="inlineStr">
        <is>
          <t>Something went wrong: short on funds, then covered (SJ-2026-00120)</t>
        </is>
      </c>
      <c r="C27" s="26" t="n">
        <v>1</v>
      </c>
      <c r="D27" s="25" t="inlineStr">
        <is>
          <t>Manager</t>
        </is>
      </c>
      <c r="E27" s="25" t="inlineStr">
        <is>
          <t>Read the Dashboard.</t>
        </is>
      </c>
      <c r="F27" s="25" t="inlineStr">
        <is>
          <t>"Jobs short on funds 1"; list row for SJ-2026-00120, short by ₱8,400.00, "Fees start in 2 days".</t>
        </is>
      </c>
      <c r="G27" s="27" t="inlineStr">
        <is>
          <t>Pass</t>
        </is>
      </c>
      <c r="H27" s="28" t="inlineStr">
        <is>
          <t>Claude (automated, Playwright)</t>
        </is>
      </c>
      <c r="I27" s="29" t="n">
        <v>46294</v>
      </c>
      <c r="J27" s="27" t="n"/>
      <c r="K27" s="28" t="inlineStr">
        <is>
          <t>Automated pass, 2 checks.</t>
        </is>
      </c>
    </row>
    <row r="28" ht="43" customHeight="1">
      <c r="A28" s="24" t="inlineStr">
        <is>
          <t>E2E-04</t>
        </is>
      </c>
      <c r="B28" s="25" t="inlineStr">
        <is>
          <t>Something went wrong: short on funds, then covered (SJ-2026-00120)</t>
        </is>
      </c>
      <c r="C28" s="26" t="n">
        <v>2</v>
      </c>
      <c r="D28" s="25" t="inlineStr">
        <is>
          <t>Finance</t>
        </is>
      </c>
      <c r="E28" s="25" t="inlineStr">
        <is>
          <t>Open the job.</t>
        </is>
      </c>
      <c r="F28" s="25" t="inlineStr">
        <is>
          <t>Chip Short on funds and the amber banner, read-only.</t>
        </is>
      </c>
      <c r="G28" s="27" t="inlineStr">
        <is>
          <t>Pass</t>
        </is>
      </c>
      <c r="H28" s="28" t="inlineStr">
        <is>
          <t>Claude (automated, Playwright)</t>
        </is>
      </c>
      <c r="I28" s="29" t="n">
        <v>46294</v>
      </c>
      <c r="J28" s="27" t="n"/>
      <c r="K28" s="28" t="inlineStr">
        <is>
          <t>Automated pass, 3 checks.</t>
        </is>
      </c>
    </row>
    <row r="29" ht="43" customHeight="1">
      <c r="A29" s="24" t="inlineStr">
        <is>
          <t>E2E-04</t>
        </is>
      </c>
      <c r="B29" s="25" t="inlineStr">
        <is>
          <t>Something went wrong: short on funds, then covered (SJ-2026-00120)</t>
        </is>
      </c>
      <c r="C29" s="26" t="n">
        <v>3</v>
      </c>
      <c r="D29" s="25" t="inlineStr">
        <is>
          <t>Manager</t>
        </is>
      </c>
      <c r="E29" s="25" t="inlineStr">
        <is>
          <t>Add funds received 10000.</t>
        </is>
      </c>
      <c r="F29" s="25" t="inlineStr">
        <is>
          <t>Banner and chip vanish; dashboard card 0.</t>
        </is>
      </c>
      <c r="G29" s="27" t="inlineStr">
        <is>
          <t>Pass</t>
        </is>
      </c>
      <c r="H29" s="28" t="inlineStr">
        <is>
          <t>Claude (automated, Playwright)</t>
        </is>
      </c>
      <c r="I29" s="29" t="n">
        <v>46294</v>
      </c>
      <c r="J29" s="27" t="n"/>
      <c r="K29" s="28" t="inlineStr">
        <is>
          <t>Automated pass, 3 checks.</t>
        </is>
      </c>
    </row>
    <row r="30" ht="43" customHeight="1">
      <c r="A30" s="24" t="inlineStr">
        <is>
          <t>E2E-04</t>
        </is>
      </c>
      <c r="B30" s="25" t="inlineStr">
        <is>
          <t>Something went wrong: short on funds, then covered (SJ-2026-00120)</t>
        </is>
      </c>
      <c r="C30" s="26" t="n">
        <v>4</v>
      </c>
      <c r="D30" s="25" t="inlineStr">
        <is>
          <t>Dispatcher</t>
        </is>
      </c>
      <c r="E30" s="25" t="inlineStr">
        <is>
          <t>Complete "Pay duties and assessment" (file needed). Advance customs to Payment Completed.</t>
        </is>
      </c>
      <c r="F30" s="25" t="inlineStr">
        <is>
          <t>Job list still flags "Free storage: 2d left" (a separate clock).</t>
        </is>
      </c>
      <c r="G30" s="27" t="inlineStr">
        <is>
          <t>Pass</t>
        </is>
      </c>
      <c r="H30" s="28" t="inlineStr">
        <is>
          <t>Claude (automated, Playwright)</t>
        </is>
      </c>
      <c r="I30" s="29" t="n">
        <v>46294</v>
      </c>
      <c r="J30" s="27" t="n"/>
      <c r="K30" s="28" t="inlineStr">
        <is>
          <t>Automated pass, 1 checks.</t>
        </is>
      </c>
    </row>
    <row r="31" ht="43" customHeight="1">
      <c r="A31" s="24" t="inlineStr">
        <is>
          <t>E2E-04</t>
        </is>
      </c>
      <c r="B31" s="25" t="inlineStr">
        <is>
          <t>Something went wrong: short on funds, then covered (SJ-2026-00120)</t>
        </is>
      </c>
      <c r="C31" s="26" t="n">
        <v>5</v>
      </c>
      <c r="D31" s="25" t="inlineStr">
        <is>
          <t>Customer</t>
        </is>
      </c>
      <c r="E31" s="25" t="inlineStr">
        <is>
          <t>Track the job.</t>
        </is>
      </c>
      <c r="F31" s="25" t="inlineStr">
        <is>
          <t>"Customs stage: Payment Completed."</t>
        </is>
      </c>
      <c r="G31" s="27" t="inlineStr">
        <is>
          <t>Pass</t>
        </is>
      </c>
      <c r="H31" s="28" t="inlineStr">
        <is>
          <t>Claude (automated, Playwright)</t>
        </is>
      </c>
      <c r="I31" s="29" t="n">
        <v>46294</v>
      </c>
      <c r="J31" s="27" t="n"/>
      <c r="K31" s="28" t="inlineStr">
        <is>
          <t>Automated pass, 1 checks.</t>
        </is>
      </c>
    </row>
    <row r="32" ht="43" customHeight="1">
      <c r="A32" s="24" t="inlineStr">
        <is>
          <t>E2E-05</t>
        </is>
      </c>
      <c r="B32" s="25" t="inlineStr">
        <is>
          <t>Something went wrong: damaged delivery blocks the handoff (SJ-2026-00077)</t>
        </is>
      </c>
      <c r="C32" s="26" t="n">
        <v>1</v>
      </c>
      <c r="D32" s="25" t="inlineStr">
        <is>
          <t>Warehouse Crew (Ben)</t>
        </is>
      </c>
      <c r="E32" s="25" t="inlineStr">
        <is>
          <t>Confirm + POD on SJ-2026-00077, damage on, description Two pallets crushed.</t>
        </is>
      </c>
      <c r="F32" s="25" t="inlineStr">
        <is>
          <t>Delivered with a red damage box.</t>
        </is>
      </c>
      <c r="G32" s="27" t="inlineStr">
        <is>
          <t>Pass</t>
        </is>
      </c>
      <c r="H32" s="28" t="inlineStr">
        <is>
          <t>Claude (automated, Playwright)</t>
        </is>
      </c>
      <c r="I32" s="29" t="n">
        <v>46294</v>
      </c>
      <c r="J32" s="27" t="n"/>
      <c r="K32" s="28" t="inlineStr">
        <is>
          <t>Automated pass, 3 checks.</t>
        </is>
      </c>
    </row>
    <row r="33" ht="43" customHeight="1">
      <c r="A33" s="24" t="inlineStr">
        <is>
          <t>E2E-05</t>
        </is>
      </c>
      <c r="B33" s="25" t="inlineStr">
        <is>
          <t>Something went wrong: damaged delivery blocks the handoff (SJ-2026-00077)</t>
        </is>
      </c>
      <c r="C33" s="26" t="n">
        <v>2</v>
      </c>
      <c r="D33" s="25" t="inlineStr">
        <is>
          <t>Customer</t>
        </is>
      </c>
      <c r="E33" s="25" t="inlineStr">
        <is>
          <t>Track the job.</t>
        </is>
      </c>
      <c r="F33" s="25" t="inlineStr">
        <is>
          <t>Delivered, with "Damage or incomplete delivery reported ... our team will contact you".</t>
        </is>
      </c>
      <c r="G33" s="27" t="inlineStr">
        <is>
          <t>Pass</t>
        </is>
      </c>
      <c r="H33" s="28" t="inlineStr">
        <is>
          <t>Claude (automated, Playwright)</t>
        </is>
      </c>
      <c r="I33" s="29" t="n">
        <v>46294</v>
      </c>
      <c r="J33" s="27" t="n"/>
      <c r="K33" s="28" t="inlineStr">
        <is>
          <t>Automated pass, 3 checks.</t>
        </is>
      </c>
    </row>
    <row r="34" ht="43" customHeight="1">
      <c r="A34" s="24" t="inlineStr">
        <is>
          <t>E2E-05</t>
        </is>
      </c>
      <c r="B34" s="25" t="inlineStr">
        <is>
          <t>Something went wrong: damaged delivery blocks the handoff (SJ-2026-00077)</t>
        </is>
      </c>
      <c r="C34" s="26" t="n">
        <v>3</v>
      </c>
      <c r="D34" s="25" t="inlineStr">
        <is>
          <t>Manager</t>
        </is>
      </c>
      <c r="E34" s="25" t="inlineStr">
        <is>
          <t>Open Charges.</t>
        </is>
      </c>
      <c r="F34" s="25" t="inlineStr">
        <is>
          <t>"Delivery confirmed with POD" is Pending, so the job cannot be marked ready. No Billing Summary panel.</t>
        </is>
      </c>
      <c r="G34" s="27" t="inlineStr">
        <is>
          <t>Pass</t>
        </is>
      </c>
      <c r="H34" s="28" t="inlineStr">
        <is>
          <t>Claude (automated, Playwright)</t>
        </is>
      </c>
      <c r="I34" s="29" t="n">
        <v>46294</v>
      </c>
      <c r="J34" s="27" t="n"/>
      <c r="K34" s="28" t="inlineStr">
        <is>
          <t>Automated pass, 3 checks.</t>
        </is>
      </c>
    </row>
    <row r="35" ht="43" customHeight="1">
      <c r="A35" s="24" t="inlineStr">
        <is>
          <t>E2E-05</t>
        </is>
      </c>
      <c r="B35" s="25" t="inlineStr">
        <is>
          <t>Something went wrong: damaged delivery blocks the handoff (SJ-2026-00077)</t>
        </is>
      </c>
      <c r="C35" s="26" t="n">
        <v>4</v>
      </c>
      <c r="D35" s="25" t="inlineStr">
        <is>
          <t>Finance</t>
        </is>
      </c>
      <c r="E35" s="25" t="inlineStr">
        <is>
          <t>Open the job.</t>
        </is>
      </c>
      <c r="F35" s="25" t="inlineStr">
        <is>
          <t>Nothing to bill yet; Charges tab shows no billing summary link.</t>
        </is>
      </c>
      <c r="G35" s="27" t="inlineStr">
        <is>
          <t>Pass</t>
        </is>
      </c>
      <c r="H35" s="28" t="inlineStr">
        <is>
          <t>Claude (automated, Playwright)</t>
        </is>
      </c>
      <c r="I35" s="29" t="n">
        <v>46294</v>
      </c>
      <c r="J35" s="27" t="n"/>
      <c r="K35" s="28" t="inlineStr">
        <is>
          <t>Automated pass, 1 checks.</t>
        </is>
      </c>
    </row>
    <row r="36" ht="43" customHeight="1">
      <c r="A36" s="24" t="inlineStr">
        <is>
          <t>E2E-06</t>
        </is>
      </c>
      <c r="B36" s="25" t="inlineStr">
        <is>
          <t>Something went wrong: a person leaves, work is handed on</t>
        </is>
      </c>
      <c r="C36" s="26" t="n">
        <v>1</v>
      </c>
      <c r="D36" s="25" t="inlineStr">
        <is>
          <t>Admin</t>
        </is>
      </c>
      <c r="E36" s="25" t="inlineStr">
        <is>
          <t>Turn off Cathy Lim in Users &amp; Roles.</t>
        </is>
      </c>
      <c r="F36" s="25" t="inlineStr">
        <is>
          <t>Message "Cathy Lim is now inactive." and the switch reads Inactive. (The account picker still offers Ana Cruz for Dispatcher, as before.)</t>
        </is>
      </c>
      <c r="G36" s="27" t="inlineStr">
        <is>
          <t>Pass</t>
        </is>
      </c>
      <c r="H36" s="28" t="inlineStr">
        <is>
          <t>Claude (automated, Playwright)</t>
        </is>
      </c>
      <c r="I36" s="29" t="n">
        <v>46294</v>
      </c>
      <c r="J36" s="27" t="n"/>
      <c r="K36" s="28" t="inlineStr">
        <is>
          <t>Automated pass, 3 checks.</t>
        </is>
      </c>
    </row>
    <row r="37" ht="30" customHeight="1">
      <c r="A37" s="24" t="inlineStr">
        <is>
          <t>E2E-06</t>
        </is>
      </c>
      <c r="B37" s="25" t="inlineStr">
        <is>
          <t>Something went wrong: a person leaves, work is handed on</t>
        </is>
      </c>
      <c r="C37" s="26" t="n">
        <v>2</v>
      </c>
      <c r="D37" s="25" t="inlineStr">
        <is>
          <t>Manager</t>
        </is>
      </c>
      <c r="E37" s="25" t="inlineStr">
        <is>
          <t>On SJ-2026-00082 Tasks, Reassign "Lodge customs entry" from Cathy Lim to Ana Cruz, due 30 Sep 2026.</t>
        </is>
      </c>
      <c r="F37" s="25" t="inlineStr">
        <is>
          <t>Row shows Ana Cruz; History logs "Task reassigned". The row still reads Overdue (KL-03).</t>
        </is>
      </c>
      <c r="G37" s="27" t="inlineStr">
        <is>
          <t>Pass</t>
        </is>
      </c>
      <c r="H37" s="28" t="inlineStr">
        <is>
          <t>Claude (automated, Playwright)</t>
        </is>
      </c>
      <c r="I37" s="29" t="n">
        <v>46294</v>
      </c>
      <c r="J37" s="27" t="n"/>
      <c r="K37" s="28" t="inlineStr">
        <is>
          <t>Automated pass, 2 checks.</t>
        </is>
      </c>
    </row>
    <row r="38" ht="30" customHeight="1">
      <c r="A38" s="24" t="inlineStr">
        <is>
          <t>E2E-06</t>
        </is>
      </c>
      <c r="B38" s="25" t="inlineStr">
        <is>
          <t>Something went wrong: a person leaves, work is handed on</t>
        </is>
      </c>
      <c r="C38" s="26" t="n">
        <v>3</v>
      </c>
      <c r="D38" s="25" t="inlineStr">
        <is>
          <t>Dispatcher (Ana)</t>
        </is>
      </c>
      <c r="E38" s="25" t="inlineStr">
        <is>
          <t>My Tasks now includes the SJ-2026-00082 tasks. Complete "Lodge customs entry" with a file.</t>
        </is>
      </c>
      <c r="F38" s="25" t="inlineStr">
        <is>
          <t>Dashboard Overdue tasks becomes 0.</t>
        </is>
      </c>
      <c r="G38" s="27" t="inlineStr">
        <is>
          <t>Pass</t>
        </is>
      </c>
      <c r="H38" s="28" t="inlineStr">
        <is>
          <t>Claude (automated, Playwright)</t>
        </is>
      </c>
      <c r="I38" s="29" t="n">
        <v>46294</v>
      </c>
      <c r="J38" s="27" t="n"/>
      <c r="K38" s="28" t="inlineStr">
        <is>
          <t>Automated pass, 3 checks.</t>
        </is>
      </c>
    </row>
    <row r="39" ht="30" customHeight="1">
      <c r="A39" s="24" t="inlineStr">
        <is>
          <t>E2E-06</t>
        </is>
      </c>
      <c r="B39" s="25" t="inlineStr">
        <is>
          <t>Something went wrong: a person leaves, work is handed on</t>
        </is>
      </c>
      <c r="C39" s="26" t="n">
        <v>4</v>
      </c>
      <c r="D39" s="25" t="inlineStr">
        <is>
          <t>Admin</t>
        </is>
      </c>
      <c r="E39" s="25" t="inlineStr">
        <is>
          <t>Turn Cathy Lim back on.</t>
        </is>
      </c>
      <c r="F39" s="25" t="inlineStr">
        <is>
          <t>"Cathy Lim is now active."</t>
        </is>
      </c>
      <c r="G39" s="27" t="inlineStr">
        <is>
          <t>Pass</t>
        </is>
      </c>
      <c r="H39" s="28" t="inlineStr">
        <is>
          <t>Claude (automated, Playwright)</t>
        </is>
      </c>
      <c r="I39" s="29" t="n">
        <v>46294</v>
      </c>
      <c r="J39" s="27" t="n"/>
      <c r="K39" s="28" t="inlineStr">
        <is>
          <t>Automated pass, 1 checks.</t>
        </is>
      </c>
    </row>
  </sheetData>
  <autoFilter ref="A1:K39"/>
  <conditionalFormatting sqref="G2:G39">
    <cfRule type="cellIs" priority="1" operator="equal" dxfId="1">
      <formula>"Pass"</formula>
    </cfRule>
    <cfRule type="cellIs" priority="2" operator="equal" dxfId="2">
      <formula>"Fail"</formula>
    </cfRule>
    <cfRule type="cellIs" priority="3" operator="equal" dxfId="3">
      <formula>"Blocked"</formula>
    </cfRule>
    <cfRule type="cellIs" priority="4" operator="equal" dxfId="4">
      <formula>"Not run"</formula>
    </cfRule>
  </conditionalFormatting>
  <dataValidations count="2">
    <dataValidation sqref="G2:G39" showDropDown="0" showInputMessage="0" showErrorMessage="1" allowBlank="0" type="list">
      <formula1>"Not run,Pass,Fail,Blocked"</formula1>
    </dataValidation>
    <dataValidation sqref="I2:I39" showDropDown="0" showInputMessage="0" showErrorMessage="1" allowBlank="1" type="date" operator="greaterThan">
      <formula1>36526</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B3372D"/>
    <outlinePr summaryBelow="1" summaryRight="1"/>
    <pageSetUpPr fitToPage="1"/>
  </sheetPr>
  <dimension ref="A1:M1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6" customWidth="1" min="2" max="2"/>
    <col width="12" customWidth="1" min="3" max="3"/>
    <col width="30" customWidth="1" min="4" max="4"/>
    <col width="40" customWidth="1" min="5" max="5"/>
    <col width="36" customWidth="1" min="6" max="6"/>
    <col width="40" customWidth="1" min="7" max="7"/>
    <col width="24" customWidth="1" min="8" max="8"/>
    <col width="16" customWidth="1" min="9" max="9"/>
    <col width="13" customWidth="1" min="10" max="10"/>
    <col width="13" customWidth="1" min="11" max="11"/>
    <col width="16" customWidth="1" min="12" max="12"/>
    <col width="30" customWidth="1" min="13" max="13"/>
  </cols>
  <sheetData>
    <row r="1" ht="30" customHeight="1">
      <c r="A1" s="9" t="inlineStr">
        <is>
          <t>Defect ID</t>
        </is>
      </c>
      <c r="B1" s="9" t="inlineStr">
        <is>
          <t>Test case / step</t>
        </is>
      </c>
      <c r="C1" s="9" t="inlineStr">
        <is>
          <t>Severity</t>
        </is>
      </c>
      <c r="D1" s="9" t="inlineStr">
        <is>
          <t>Title</t>
        </is>
      </c>
      <c r="E1" s="9" t="inlineStr">
        <is>
          <t>What you did</t>
        </is>
      </c>
      <c r="F1" s="9" t="inlineStr">
        <is>
          <t>What you expected</t>
        </is>
      </c>
      <c r="G1" s="9" t="inlineStr">
        <is>
          <t>What happened</t>
        </is>
      </c>
      <c r="H1" s="9" t="inlineStr">
        <is>
          <t>Screenshot / link</t>
        </is>
      </c>
      <c r="I1" s="9" t="inlineStr">
        <is>
          <t>Reported by</t>
        </is>
      </c>
      <c r="J1" s="9" t="inlineStr">
        <is>
          <t>Date</t>
        </is>
      </c>
      <c r="K1" s="9" t="inlineStr">
        <is>
          <t>Status</t>
        </is>
      </c>
      <c r="L1" s="9" t="inlineStr">
        <is>
          <t>Owner</t>
        </is>
      </c>
      <c r="M1" s="9" t="inlineStr">
        <is>
          <t>Notes</t>
        </is>
      </c>
    </row>
    <row r="2">
      <c r="A2" s="30" t="inlineStr">
        <is>
          <t>D-001</t>
        </is>
      </c>
      <c r="B2" s="28" t="inlineStr">
        <is>
          <t>XC-02</t>
        </is>
      </c>
      <c r="C2" s="27" t="inlineStr">
        <is>
          <t>Major</t>
        </is>
      </c>
      <c r="D2" s="28" t="inlineStr">
        <is>
          <t>Keyboard-only use: rows and drawers cannot be operated in a sensible order</t>
        </is>
      </c>
      <c r="E2" s="28" t="inlineStr">
        <is>
          <t>Signed in and moved around using only Tab / Shift+Tab / Enter / Space; tried to open a job, an inquiry and a drawer (New customer).</t>
        </is>
      </c>
      <c r="F2" s="28" t="inlineStr">
        <is>
          <t>Every control is reachable in a sensible order, focus is visible, no step needs a mouse.</t>
        </is>
      </c>
      <c r="G2" s="28" t="inlineStr">
        <is>
          <t>Focus ring is visible and sign-in works by keyboard. But: job rows and inquiry rows are click-only (no tabindex, no link), so an inquiry cannot be opened from its list by keyboard at all, and a job only via the row menu; the row menu opens at the end of the page (focus stays on the button, 12 Tab presses to reach "Open tasks"); opening a drawer leaves focus on the trigger button and the first drawer control is 7 Tab presses away.</t>
        </is>
      </c>
      <c r="H2" s="28" t="inlineStr">
        <is>
          <t>n/a (behaviour / data; see Notes)</t>
        </is>
      </c>
      <c r="I2" s="28" t="inlineStr">
        <is>
          <t>Claude (automated, Playwright)</t>
        </is>
      </c>
      <c r="J2" s="29" t="n">
        <v>46294</v>
      </c>
      <c r="K2" s="27" t="inlineStr">
        <is>
          <t>Open</t>
        </is>
      </c>
      <c r="L2" s="28" t="n"/>
      <c r="M2" s="28" t="inlineStr">
        <is>
          <t>Suggest: make rows real links or add tabindex + Enter handler; move focus into menus and drawers on open and return it on close.</t>
        </is>
      </c>
    </row>
    <row r="3">
      <c r="A3" s="30" t="inlineStr">
        <is>
          <t>D-002</t>
        </is>
      </c>
      <c r="B3" s="28" t="inlineStr">
        <is>
          <t>DAT-06</t>
        </is>
      </c>
      <c r="C3" s="27" t="inlineStr">
        <is>
          <t>Minor</t>
        </is>
      </c>
      <c r="D3" s="28" t="inlineStr">
        <is>
          <t>Sample data has activity dated before the job was created</t>
        </is>
      </c>
      <c r="E3" s="28" t="inlineStr">
        <is>
          <t>Read every job's history, deposits, payments and task completion dates against its "Job created" date.</t>
        </is>
      </c>
      <c r="F3" s="28" t="inlineStr">
        <is>
          <t>No job has activity before it was created; history starts with "Job created"; deposits and payments fall between creation and today.</t>
        </is>
      </c>
      <c r="G3" s="28" t="inlineStr">
        <is>
          <t>SJ-2026-00101: history starts with "Funds received" (10 Sep) and the ₱135,000.00 deposit is dated 10 Sep, but the job was created 13 Sep. Also tasks show "Completed on" dates earlier than job creation on SJ-2026-00101 (10-12 Sep vs created 13 Sep), 00088 (10 Sep vs 16 Sep), 00082 (10 Sep vs 12 Sep), 00130 (10-11 Sep vs 14 Sep), 00065 (10-11 Sep vs 13 Sep) and 00120 (10-11 Sep vs 14 Sep).</t>
        </is>
      </c>
      <c r="H3" s="28" t="inlineStr">
        <is>
          <t>n/a (behaviour / data; see Notes)</t>
        </is>
      </c>
      <c r="I3" s="28" t="inlineStr">
        <is>
          <t>Claude (automated, Playwright)</t>
        </is>
      </c>
      <c r="J3" s="29" t="n">
        <v>46294</v>
      </c>
      <c r="K3" s="27" t="inlineStr">
        <is>
          <t>Open</t>
        </is>
      </c>
      <c r="L3" s="28" t="n"/>
      <c r="M3" s="28" t="inlineStr">
        <is>
          <t>MGR-14 in the plan itself expects "completed on 2026-09-10" for SJ-2026-00101, so the plan and the rule conflict. Fix the data (or the rule).</t>
        </is>
      </c>
    </row>
    <row r="4">
      <c r="A4" s="30" t="inlineStr">
        <is>
          <t>D-003</t>
        </is>
      </c>
      <c r="B4" s="28" t="inlineStr">
        <is>
          <t>WHC-05</t>
        </is>
      </c>
      <c r="C4" s="27" t="inlineStr">
        <is>
          <t>Minor</t>
        </is>
      </c>
      <c r="D4" s="28" t="inlineStr">
        <is>
          <t>Warehouse Crew empty-task message cannot be reached</t>
        </is>
      </c>
      <c r="E4" s="28" t="inlineStr">
        <is>
          <t>Opened the Tasks tab on all four of Ben Santos's jobs.</t>
        </is>
      </c>
      <c r="F4" s="28" t="inlineStr">
        <is>
          <t>On a job where Ben has no open tasks the table says "No tasks assigned to you on this job."</t>
        </is>
      </c>
      <c r="G4" s="28" t="inlineStr">
        <is>
          <t>Ben can only open jobs where he owns a task, and the Tasks tab lists his tasks whether open or completed. On SJ-2026-00101 (all his tasks done) the two Completed tasks are still shown, so the empty message never appears with the sample data.</t>
        </is>
      </c>
      <c r="H4" s="28" t="inlineStr">
        <is>
          <t>n/a (behaviour / data; see Notes)</t>
        </is>
      </c>
      <c r="I4" s="28" t="inlineStr">
        <is>
          <t>Claude (automated, Playwright)</t>
        </is>
      </c>
      <c r="J4" s="29" t="n">
        <v>46294</v>
      </c>
      <c r="K4" s="27" t="inlineStr">
        <is>
          <t>Open</t>
        </is>
      </c>
      <c r="L4" s="28" t="n"/>
      <c r="M4" s="28" t="inlineStr">
        <is>
          <t>Either the expected result is wrong or the tab should hide Completed tasks. Decision needed.</t>
        </is>
      </c>
    </row>
    <row r="5">
      <c r="A5" s="30" t="inlineStr">
        <is>
          <t>D-004</t>
        </is>
      </c>
      <c r="B5" s="28" t="n"/>
      <c r="C5" s="27" t="n"/>
      <c r="D5" s="28" t="n"/>
      <c r="E5" s="28" t="n"/>
      <c r="F5" s="28" t="n"/>
      <c r="G5" s="28" t="n"/>
      <c r="H5" s="28" t="n"/>
      <c r="I5" s="28" t="n"/>
      <c r="J5" s="29" t="n"/>
      <c r="K5" s="27" t="n"/>
      <c r="L5" s="28" t="n"/>
      <c r="M5" s="28" t="n"/>
    </row>
    <row r="6">
      <c r="A6" s="30" t="inlineStr">
        <is>
          <t>D-005</t>
        </is>
      </c>
      <c r="B6" s="28" t="n"/>
      <c r="C6" s="27" t="n"/>
      <c r="D6" s="28" t="n"/>
      <c r="E6" s="28" t="n"/>
      <c r="F6" s="28" t="n"/>
      <c r="G6" s="28" t="n"/>
      <c r="H6" s="28" t="n"/>
      <c r="I6" s="28" t="n"/>
      <c r="J6" s="29" t="n"/>
      <c r="K6" s="27" t="n"/>
      <c r="L6" s="28" t="n"/>
      <c r="M6" s="28" t="n"/>
    </row>
    <row r="7">
      <c r="A7" s="30" t="inlineStr">
        <is>
          <t>D-006</t>
        </is>
      </c>
      <c r="B7" s="28" t="n"/>
      <c r="C7" s="27" t="n"/>
      <c r="D7" s="28" t="n"/>
      <c r="E7" s="28" t="n"/>
      <c r="F7" s="28" t="n"/>
      <c r="G7" s="28" t="n"/>
      <c r="H7" s="28" t="n"/>
      <c r="I7" s="28" t="n"/>
      <c r="J7" s="29" t="n"/>
      <c r="K7" s="27" t="n"/>
      <c r="L7" s="28" t="n"/>
      <c r="M7" s="28" t="n"/>
    </row>
    <row r="8">
      <c r="A8" s="30" t="inlineStr">
        <is>
          <t>D-007</t>
        </is>
      </c>
      <c r="B8" s="28" t="n"/>
      <c r="C8" s="27" t="n"/>
      <c r="D8" s="28" t="n"/>
      <c r="E8" s="28" t="n"/>
      <c r="F8" s="28" t="n"/>
      <c r="G8" s="28" t="n"/>
      <c r="H8" s="28" t="n"/>
      <c r="I8" s="28" t="n"/>
      <c r="J8" s="29" t="n"/>
      <c r="K8" s="27" t="n"/>
      <c r="L8" s="28" t="n"/>
      <c r="M8" s="28" t="n"/>
    </row>
    <row r="9">
      <c r="A9" s="30" t="inlineStr">
        <is>
          <t>D-008</t>
        </is>
      </c>
      <c r="B9" s="28" t="n"/>
      <c r="C9" s="27" t="n"/>
      <c r="D9" s="28" t="n"/>
      <c r="E9" s="28" t="n"/>
      <c r="F9" s="28" t="n"/>
      <c r="G9" s="28" t="n"/>
      <c r="H9" s="28" t="n"/>
      <c r="I9" s="28" t="n"/>
      <c r="J9" s="29" t="n"/>
      <c r="K9" s="27" t="n"/>
      <c r="L9" s="28" t="n"/>
      <c r="M9" s="28" t="n"/>
    </row>
    <row r="10">
      <c r="A10" s="30" t="inlineStr">
        <is>
          <t>D-009</t>
        </is>
      </c>
      <c r="B10" s="28" t="n"/>
      <c r="C10" s="27" t="n"/>
      <c r="D10" s="28" t="n"/>
      <c r="E10" s="28" t="n"/>
      <c r="F10" s="28" t="n"/>
      <c r="G10" s="28" t="n"/>
      <c r="H10" s="28" t="n"/>
      <c r="I10" s="28" t="n"/>
      <c r="J10" s="29" t="n"/>
      <c r="K10" s="27" t="n"/>
      <c r="L10" s="28" t="n"/>
      <c r="M10" s="28" t="n"/>
    </row>
    <row r="11">
      <c r="A11" s="30" t="inlineStr">
        <is>
          <t>D-010</t>
        </is>
      </c>
      <c r="B11" s="28" t="n"/>
      <c r="C11" s="27" t="n"/>
      <c r="D11" s="28" t="n"/>
      <c r="E11" s="28" t="n"/>
      <c r="F11" s="28" t="n"/>
      <c r="G11" s="28" t="n"/>
      <c r="H11" s="28" t="n"/>
      <c r="I11" s="28" t="n"/>
      <c r="J11" s="29" t="n"/>
      <c r="K11" s="27" t="n"/>
      <c r="L11" s="28" t="n"/>
      <c r="M11" s="28" t="n"/>
    </row>
    <row r="12">
      <c r="A12" s="30" t="inlineStr">
        <is>
          <t>D-011</t>
        </is>
      </c>
      <c r="B12" s="28" t="n"/>
      <c r="C12" s="27" t="n"/>
      <c r="D12" s="28" t="n"/>
      <c r="E12" s="28" t="n"/>
      <c r="F12" s="28" t="n"/>
      <c r="G12" s="28" t="n"/>
      <c r="H12" s="28" t="n"/>
      <c r="I12" s="28" t="n"/>
      <c r="J12" s="29" t="n"/>
      <c r="K12" s="27" t="n"/>
      <c r="L12" s="28" t="n"/>
      <c r="M12" s="28" t="n"/>
    </row>
    <row r="13">
      <c r="A13" s="30" t="inlineStr">
        <is>
          <t>D-012</t>
        </is>
      </c>
      <c r="B13" s="28" t="n"/>
      <c r="C13" s="27" t="n"/>
      <c r="D13" s="28" t="n"/>
      <c r="E13" s="28" t="n"/>
      <c r="F13" s="28" t="n"/>
      <c r="G13" s="28" t="n"/>
      <c r="H13" s="28" t="n"/>
      <c r="I13" s="28" t="n"/>
      <c r="J13" s="29" t="n"/>
      <c r="K13" s="27" t="n"/>
      <c r="L13" s="28" t="n"/>
      <c r="M13" s="28" t="n"/>
    </row>
    <row r="14">
      <c r="A14" s="30" t="inlineStr">
        <is>
          <t>D-013</t>
        </is>
      </c>
      <c r="B14" s="28" t="n"/>
      <c r="C14" s="27" t="n"/>
      <c r="D14" s="28" t="n"/>
      <c r="E14" s="28" t="n"/>
      <c r="F14" s="28" t="n"/>
      <c r="G14" s="28" t="n"/>
      <c r="H14" s="28" t="n"/>
      <c r="I14" s="28" t="n"/>
      <c r="J14" s="29" t="n"/>
      <c r="K14" s="27" t="n"/>
      <c r="L14" s="28" t="n"/>
      <c r="M14" s="28" t="n"/>
    </row>
    <row r="15">
      <c r="A15" s="30" t="inlineStr">
        <is>
          <t>D-014</t>
        </is>
      </c>
      <c r="B15" s="28" t="n"/>
      <c r="C15" s="27" t="n"/>
      <c r="D15" s="28" t="n"/>
      <c r="E15" s="28" t="n"/>
      <c r="F15" s="28" t="n"/>
      <c r="G15" s="28" t="n"/>
      <c r="H15" s="28" t="n"/>
      <c r="I15" s="28" t="n"/>
      <c r="J15" s="29" t="n"/>
      <c r="K15" s="27" t="n"/>
      <c r="L15" s="28" t="n"/>
      <c r="M15" s="28" t="n"/>
    </row>
    <row r="16">
      <c r="A16" s="30" t="inlineStr">
        <is>
          <t>D-015</t>
        </is>
      </c>
      <c r="B16" s="28" t="n"/>
      <c r="C16" s="27" t="n"/>
      <c r="D16" s="28" t="n"/>
      <c r="E16" s="28" t="n"/>
      <c r="F16" s="28" t="n"/>
      <c r="G16" s="28" t="n"/>
      <c r="H16" s="28" t="n"/>
      <c r="I16" s="28" t="n"/>
      <c r="J16" s="29" t="n"/>
      <c r="K16" s="27" t="n"/>
      <c r="L16" s="28" t="n"/>
      <c r="M16" s="28" t="n"/>
    </row>
    <row r="17">
      <c r="A17" s="30" t="inlineStr">
        <is>
          <t>D-016</t>
        </is>
      </c>
      <c r="B17" s="28" t="n"/>
      <c r="C17" s="27" t="n"/>
      <c r="D17" s="28" t="n"/>
      <c r="E17" s="28" t="n"/>
      <c r="F17" s="28" t="n"/>
      <c r="G17" s="28" t="n"/>
      <c r="H17" s="28" t="n"/>
      <c r="I17" s="28" t="n"/>
      <c r="J17" s="29" t="n"/>
      <c r="K17" s="27" t="n"/>
      <c r="L17" s="28" t="n"/>
      <c r="M17" s="28" t="n"/>
    </row>
    <row r="18">
      <c r="A18" s="30" t="inlineStr">
        <is>
          <t>D-017</t>
        </is>
      </c>
      <c r="B18" s="28" t="n"/>
      <c r="C18" s="27" t="n"/>
      <c r="D18" s="28" t="n"/>
      <c r="E18" s="28" t="n"/>
      <c r="F18" s="28" t="n"/>
      <c r="G18" s="28" t="n"/>
      <c r="H18" s="28" t="n"/>
      <c r="I18" s="28" t="n"/>
      <c r="J18" s="29" t="n"/>
      <c r="K18" s="27" t="n"/>
      <c r="L18" s="28" t="n"/>
      <c r="M18" s="28" t="n"/>
    </row>
    <row r="19">
      <c r="A19" s="30" t="inlineStr">
        <is>
          <t>D-018</t>
        </is>
      </c>
      <c r="B19" s="28" t="n"/>
      <c r="C19" s="27" t="n"/>
      <c r="D19" s="28" t="n"/>
      <c r="E19" s="28" t="n"/>
      <c r="F19" s="28" t="n"/>
      <c r="G19" s="28" t="n"/>
      <c r="H19" s="28" t="n"/>
      <c r="I19" s="28" t="n"/>
      <c r="J19" s="29" t="n"/>
      <c r="K19" s="27" t="n"/>
      <c r="L19" s="28" t="n"/>
      <c r="M19" s="28" t="n"/>
    </row>
    <row r="20">
      <c r="A20" s="30" t="inlineStr">
        <is>
          <t>D-019</t>
        </is>
      </c>
      <c r="B20" s="28" t="n"/>
      <c r="C20" s="27" t="n"/>
      <c r="D20" s="28" t="n"/>
      <c r="E20" s="28" t="n"/>
      <c r="F20" s="28" t="n"/>
      <c r="G20" s="28" t="n"/>
      <c r="H20" s="28" t="n"/>
      <c r="I20" s="28" t="n"/>
      <c r="J20" s="29" t="n"/>
      <c r="K20" s="27" t="n"/>
      <c r="L20" s="28" t="n"/>
      <c r="M20" s="28" t="n"/>
    </row>
    <row r="21">
      <c r="A21" s="30" t="inlineStr">
        <is>
          <t>D-020</t>
        </is>
      </c>
      <c r="B21" s="28" t="n"/>
      <c r="C21" s="27" t="n"/>
      <c r="D21" s="28" t="n"/>
      <c r="E21" s="28" t="n"/>
      <c r="F21" s="28" t="n"/>
      <c r="G21" s="28" t="n"/>
      <c r="H21" s="28" t="n"/>
      <c r="I21" s="28" t="n"/>
      <c r="J21" s="29" t="n"/>
      <c r="K21" s="27" t="n"/>
      <c r="L21" s="28" t="n"/>
      <c r="M21" s="28" t="n"/>
    </row>
    <row r="22">
      <c r="A22" s="30" t="inlineStr">
        <is>
          <t>D-021</t>
        </is>
      </c>
      <c r="B22" s="28" t="n"/>
      <c r="C22" s="27" t="n"/>
      <c r="D22" s="28" t="n"/>
      <c r="E22" s="28" t="n"/>
      <c r="F22" s="28" t="n"/>
      <c r="G22" s="28" t="n"/>
      <c r="H22" s="28" t="n"/>
      <c r="I22" s="28" t="n"/>
      <c r="J22" s="29" t="n"/>
      <c r="K22" s="27" t="n"/>
      <c r="L22" s="28" t="n"/>
      <c r="M22" s="28" t="n"/>
    </row>
    <row r="23">
      <c r="A23" s="30" t="inlineStr">
        <is>
          <t>D-022</t>
        </is>
      </c>
      <c r="B23" s="28" t="n"/>
      <c r="C23" s="27" t="n"/>
      <c r="D23" s="28" t="n"/>
      <c r="E23" s="28" t="n"/>
      <c r="F23" s="28" t="n"/>
      <c r="G23" s="28" t="n"/>
      <c r="H23" s="28" t="n"/>
      <c r="I23" s="28" t="n"/>
      <c r="J23" s="29" t="n"/>
      <c r="K23" s="27" t="n"/>
      <c r="L23" s="28" t="n"/>
      <c r="M23" s="28" t="n"/>
    </row>
    <row r="24">
      <c r="A24" s="30" t="inlineStr">
        <is>
          <t>D-023</t>
        </is>
      </c>
      <c r="B24" s="28" t="n"/>
      <c r="C24" s="27" t="n"/>
      <c r="D24" s="28" t="n"/>
      <c r="E24" s="28" t="n"/>
      <c r="F24" s="28" t="n"/>
      <c r="G24" s="28" t="n"/>
      <c r="H24" s="28" t="n"/>
      <c r="I24" s="28" t="n"/>
      <c r="J24" s="29" t="n"/>
      <c r="K24" s="27" t="n"/>
      <c r="L24" s="28" t="n"/>
      <c r="M24" s="28" t="n"/>
    </row>
    <row r="25">
      <c r="A25" s="30" t="inlineStr">
        <is>
          <t>D-024</t>
        </is>
      </c>
      <c r="B25" s="28" t="n"/>
      <c r="C25" s="27" t="n"/>
      <c r="D25" s="28" t="n"/>
      <c r="E25" s="28" t="n"/>
      <c r="F25" s="28" t="n"/>
      <c r="G25" s="28" t="n"/>
      <c r="H25" s="28" t="n"/>
      <c r="I25" s="28" t="n"/>
      <c r="J25" s="29" t="n"/>
      <c r="K25" s="27" t="n"/>
      <c r="L25" s="28" t="n"/>
      <c r="M25" s="28" t="n"/>
    </row>
    <row r="26">
      <c r="A26" s="30" t="inlineStr">
        <is>
          <t>D-025</t>
        </is>
      </c>
      <c r="B26" s="28" t="n"/>
      <c r="C26" s="27" t="n"/>
      <c r="D26" s="28" t="n"/>
      <c r="E26" s="28" t="n"/>
      <c r="F26" s="28" t="n"/>
      <c r="G26" s="28" t="n"/>
      <c r="H26" s="28" t="n"/>
      <c r="I26" s="28" t="n"/>
      <c r="J26" s="29" t="n"/>
      <c r="K26" s="27" t="n"/>
      <c r="L26" s="28" t="n"/>
      <c r="M26" s="28" t="n"/>
    </row>
    <row r="27">
      <c r="A27" s="30" t="inlineStr">
        <is>
          <t>D-026</t>
        </is>
      </c>
      <c r="B27" s="28" t="n"/>
      <c r="C27" s="27" t="n"/>
      <c r="D27" s="28" t="n"/>
      <c r="E27" s="28" t="n"/>
      <c r="F27" s="28" t="n"/>
      <c r="G27" s="28" t="n"/>
      <c r="H27" s="28" t="n"/>
      <c r="I27" s="28" t="n"/>
      <c r="J27" s="29" t="n"/>
      <c r="K27" s="27" t="n"/>
      <c r="L27" s="28" t="n"/>
      <c r="M27" s="28" t="n"/>
    </row>
    <row r="28">
      <c r="A28" s="30" t="inlineStr">
        <is>
          <t>D-027</t>
        </is>
      </c>
      <c r="B28" s="28" t="n"/>
      <c r="C28" s="27" t="n"/>
      <c r="D28" s="28" t="n"/>
      <c r="E28" s="28" t="n"/>
      <c r="F28" s="28" t="n"/>
      <c r="G28" s="28" t="n"/>
      <c r="H28" s="28" t="n"/>
      <c r="I28" s="28" t="n"/>
      <c r="J28" s="29" t="n"/>
      <c r="K28" s="27" t="n"/>
      <c r="L28" s="28" t="n"/>
      <c r="M28" s="28" t="n"/>
    </row>
    <row r="29">
      <c r="A29" s="30" t="inlineStr">
        <is>
          <t>D-028</t>
        </is>
      </c>
      <c r="B29" s="28" t="n"/>
      <c r="C29" s="27" t="n"/>
      <c r="D29" s="28" t="n"/>
      <c r="E29" s="28" t="n"/>
      <c r="F29" s="28" t="n"/>
      <c r="G29" s="28" t="n"/>
      <c r="H29" s="28" t="n"/>
      <c r="I29" s="28" t="n"/>
      <c r="J29" s="29" t="n"/>
      <c r="K29" s="27" t="n"/>
      <c r="L29" s="28" t="n"/>
      <c r="M29" s="28" t="n"/>
    </row>
    <row r="30">
      <c r="A30" s="30" t="inlineStr">
        <is>
          <t>D-029</t>
        </is>
      </c>
      <c r="B30" s="28" t="n"/>
      <c r="C30" s="27" t="n"/>
      <c r="D30" s="28" t="n"/>
      <c r="E30" s="28" t="n"/>
      <c r="F30" s="28" t="n"/>
      <c r="G30" s="28" t="n"/>
      <c r="H30" s="28" t="n"/>
      <c r="I30" s="28" t="n"/>
      <c r="J30" s="29" t="n"/>
      <c r="K30" s="27" t="n"/>
      <c r="L30" s="28" t="n"/>
      <c r="M30" s="28" t="n"/>
    </row>
    <row r="31">
      <c r="A31" s="30" t="inlineStr">
        <is>
          <t>D-030</t>
        </is>
      </c>
      <c r="B31" s="28" t="n"/>
      <c r="C31" s="27" t="n"/>
      <c r="D31" s="28" t="n"/>
      <c r="E31" s="28" t="n"/>
      <c r="F31" s="28" t="n"/>
      <c r="G31" s="28" t="n"/>
      <c r="H31" s="28" t="n"/>
      <c r="I31" s="28" t="n"/>
      <c r="J31" s="29" t="n"/>
      <c r="K31" s="27" t="n"/>
      <c r="L31" s="28" t="n"/>
      <c r="M31" s="28" t="n"/>
    </row>
    <row r="32">
      <c r="A32" s="30" t="inlineStr">
        <is>
          <t>D-031</t>
        </is>
      </c>
      <c r="B32" s="28" t="n"/>
      <c r="C32" s="27" t="n"/>
      <c r="D32" s="28" t="n"/>
      <c r="E32" s="28" t="n"/>
      <c r="F32" s="28" t="n"/>
      <c r="G32" s="28" t="n"/>
      <c r="H32" s="28" t="n"/>
      <c r="I32" s="28" t="n"/>
      <c r="J32" s="29" t="n"/>
      <c r="K32" s="27" t="n"/>
      <c r="L32" s="28" t="n"/>
      <c r="M32" s="28" t="n"/>
    </row>
    <row r="33">
      <c r="A33" s="30" t="inlineStr">
        <is>
          <t>D-032</t>
        </is>
      </c>
      <c r="B33" s="28" t="n"/>
      <c r="C33" s="27" t="n"/>
      <c r="D33" s="28" t="n"/>
      <c r="E33" s="28" t="n"/>
      <c r="F33" s="28" t="n"/>
      <c r="G33" s="28" t="n"/>
      <c r="H33" s="28" t="n"/>
      <c r="I33" s="28" t="n"/>
      <c r="J33" s="29" t="n"/>
      <c r="K33" s="27" t="n"/>
      <c r="L33" s="28" t="n"/>
      <c r="M33" s="28" t="n"/>
    </row>
    <row r="34">
      <c r="A34" s="30" t="inlineStr">
        <is>
          <t>D-033</t>
        </is>
      </c>
      <c r="B34" s="28" t="n"/>
      <c r="C34" s="27" t="n"/>
      <c r="D34" s="28" t="n"/>
      <c r="E34" s="28" t="n"/>
      <c r="F34" s="28" t="n"/>
      <c r="G34" s="28" t="n"/>
      <c r="H34" s="28" t="n"/>
      <c r="I34" s="28" t="n"/>
      <c r="J34" s="29" t="n"/>
      <c r="K34" s="27" t="n"/>
      <c r="L34" s="28" t="n"/>
      <c r="M34" s="28" t="n"/>
    </row>
    <row r="35">
      <c r="A35" s="30" t="inlineStr">
        <is>
          <t>D-034</t>
        </is>
      </c>
      <c r="B35" s="28" t="n"/>
      <c r="C35" s="27" t="n"/>
      <c r="D35" s="28" t="n"/>
      <c r="E35" s="28" t="n"/>
      <c r="F35" s="28" t="n"/>
      <c r="G35" s="28" t="n"/>
      <c r="H35" s="28" t="n"/>
      <c r="I35" s="28" t="n"/>
      <c r="J35" s="29" t="n"/>
      <c r="K35" s="27" t="n"/>
      <c r="L35" s="28" t="n"/>
      <c r="M35" s="28" t="n"/>
    </row>
    <row r="36">
      <c r="A36" s="30" t="inlineStr">
        <is>
          <t>D-035</t>
        </is>
      </c>
      <c r="B36" s="28" t="n"/>
      <c r="C36" s="27" t="n"/>
      <c r="D36" s="28" t="n"/>
      <c r="E36" s="28" t="n"/>
      <c r="F36" s="28" t="n"/>
      <c r="G36" s="28" t="n"/>
      <c r="H36" s="28" t="n"/>
      <c r="I36" s="28" t="n"/>
      <c r="J36" s="29" t="n"/>
      <c r="K36" s="27" t="n"/>
      <c r="L36" s="28" t="n"/>
      <c r="M36" s="28" t="n"/>
    </row>
    <row r="37">
      <c r="A37" s="30" t="inlineStr">
        <is>
          <t>D-036</t>
        </is>
      </c>
      <c r="B37" s="28" t="n"/>
      <c r="C37" s="27" t="n"/>
      <c r="D37" s="28" t="n"/>
      <c r="E37" s="28" t="n"/>
      <c r="F37" s="28" t="n"/>
      <c r="G37" s="28" t="n"/>
      <c r="H37" s="28" t="n"/>
      <c r="I37" s="28" t="n"/>
      <c r="J37" s="29" t="n"/>
      <c r="K37" s="27" t="n"/>
      <c r="L37" s="28" t="n"/>
      <c r="M37" s="28" t="n"/>
    </row>
    <row r="38">
      <c r="A38" s="30" t="inlineStr">
        <is>
          <t>D-037</t>
        </is>
      </c>
      <c r="B38" s="28" t="n"/>
      <c r="C38" s="27" t="n"/>
      <c r="D38" s="28" t="n"/>
      <c r="E38" s="28" t="n"/>
      <c r="F38" s="28" t="n"/>
      <c r="G38" s="28" t="n"/>
      <c r="H38" s="28" t="n"/>
      <c r="I38" s="28" t="n"/>
      <c r="J38" s="29" t="n"/>
      <c r="K38" s="27" t="n"/>
      <c r="L38" s="28" t="n"/>
      <c r="M38" s="28" t="n"/>
    </row>
    <row r="39">
      <c r="A39" s="30" t="inlineStr">
        <is>
          <t>D-038</t>
        </is>
      </c>
      <c r="B39" s="28" t="n"/>
      <c r="C39" s="27" t="n"/>
      <c r="D39" s="28" t="n"/>
      <c r="E39" s="28" t="n"/>
      <c r="F39" s="28" t="n"/>
      <c r="G39" s="28" t="n"/>
      <c r="H39" s="28" t="n"/>
      <c r="I39" s="28" t="n"/>
      <c r="J39" s="29" t="n"/>
      <c r="K39" s="27" t="n"/>
      <c r="L39" s="28" t="n"/>
      <c r="M39" s="28" t="n"/>
    </row>
    <row r="40">
      <c r="A40" s="30" t="inlineStr">
        <is>
          <t>D-039</t>
        </is>
      </c>
      <c r="B40" s="28" t="n"/>
      <c r="C40" s="27" t="n"/>
      <c r="D40" s="28" t="n"/>
      <c r="E40" s="28" t="n"/>
      <c r="F40" s="28" t="n"/>
      <c r="G40" s="28" t="n"/>
      <c r="H40" s="28" t="n"/>
      <c r="I40" s="28" t="n"/>
      <c r="J40" s="29" t="n"/>
      <c r="K40" s="27" t="n"/>
      <c r="L40" s="28" t="n"/>
      <c r="M40" s="28" t="n"/>
    </row>
    <row r="41">
      <c r="A41" s="30" t="inlineStr">
        <is>
          <t>D-040</t>
        </is>
      </c>
      <c r="B41" s="28" t="n"/>
      <c r="C41" s="27" t="n"/>
      <c r="D41" s="28" t="n"/>
      <c r="E41" s="28" t="n"/>
      <c r="F41" s="28" t="n"/>
      <c r="G41" s="28" t="n"/>
      <c r="H41" s="28" t="n"/>
      <c r="I41" s="28" t="n"/>
      <c r="J41" s="29" t="n"/>
      <c r="K41" s="27" t="n"/>
      <c r="L41" s="28" t="n"/>
      <c r="M41" s="28" t="n"/>
    </row>
    <row r="42">
      <c r="A42" s="30" t="inlineStr">
        <is>
          <t>D-041</t>
        </is>
      </c>
      <c r="B42" s="28" t="n"/>
      <c r="C42" s="27" t="n"/>
      <c r="D42" s="28" t="n"/>
      <c r="E42" s="28" t="n"/>
      <c r="F42" s="28" t="n"/>
      <c r="G42" s="28" t="n"/>
      <c r="H42" s="28" t="n"/>
      <c r="I42" s="28" t="n"/>
      <c r="J42" s="29" t="n"/>
      <c r="K42" s="27" t="n"/>
      <c r="L42" s="28" t="n"/>
      <c r="M42" s="28" t="n"/>
    </row>
    <row r="43">
      <c r="A43" s="30" t="inlineStr">
        <is>
          <t>D-042</t>
        </is>
      </c>
      <c r="B43" s="28" t="n"/>
      <c r="C43" s="27" t="n"/>
      <c r="D43" s="28" t="n"/>
      <c r="E43" s="28" t="n"/>
      <c r="F43" s="28" t="n"/>
      <c r="G43" s="28" t="n"/>
      <c r="H43" s="28" t="n"/>
      <c r="I43" s="28" t="n"/>
      <c r="J43" s="29" t="n"/>
      <c r="K43" s="27" t="n"/>
      <c r="L43" s="28" t="n"/>
      <c r="M43" s="28" t="n"/>
    </row>
    <row r="44">
      <c r="A44" s="30" t="inlineStr">
        <is>
          <t>D-043</t>
        </is>
      </c>
      <c r="B44" s="28" t="n"/>
      <c r="C44" s="27" t="n"/>
      <c r="D44" s="28" t="n"/>
      <c r="E44" s="28" t="n"/>
      <c r="F44" s="28" t="n"/>
      <c r="G44" s="28" t="n"/>
      <c r="H44" s="28" t="n"/>
      <c r="I44" s="28" t="n"/>
      <c r="J44" s="29" t="n"/>
      <c r="K44" s="27" t="n"/>
      <c r="L44" s="28" t="n"/>
      <c r="M44" s="28" t="n"/>
    </row>
    <row r="45">
      <c r="A45" s="30" t="inlineStr">
        <is>
          <t>D-044</t>
        </is>
      </c>
      <c r="B45" s="28" t="n"/>
      <c r="C45" s="27" t="n"/>
      <c r="D45" s="28" t="n"/>
      <c r="E45" s="28" t="n"/>
      <c r="F45" s="28" t="n"/>
      <c r="G45" s="28" t="n"/>
      <c r="H45" s="28" t="n"/>
      <c r="I45" s="28" t="n"/>
      <c r="J45" s="29" t="n"/>
      <c r="K45" s="27" t="n"/>
      <c r="L45" s="28" t="n"/>
      <c r="M45" s="28" t="n"/>
    </row>
    <row r="46">
      <c r="A46" s="30" t="inlineStr">
        <is>
          <t>D-045</t>
        </is>
      </c>
      <c r="B46" s="28" t="n"/>
      <c r="C46" s="27" t="n"/>
      <c r="D46" s="28" t="n"/>
      <c r="E46" s="28" t="n"/>
      <c r="F46" s="28" t="n"/>
      <c r="G46" s="28" t="n"/>
      <c r="H46" s="28" t="n"/>
      <c r="I46" s="28" t="n"/>
      <c r="J46" s="29" t="n"/>
      <c r="K46" s="27" t="n"/>
      <c r="L46" s="28" t="n"/>
      <c r="M46" s="28" t="n"/>
    </row>
    <row r="47">
      <c r="A47" s="30" t="inlineStr">
        <is>
          <t>D-046</t>
        </is>
      </c>
      <c r="B47" s="28" t="n"/>
      <c r="C47" s="27" t="n"/>
      <c r="D47" s="28" t="n"/>
      <c r="E47" s="28" t="n"/>
      <c r="F47" s="28" t="n"/>
      <c r="G47" s="28" t="n"/>
      <c r="H47" s="28" t="n"/>
      <c r="I47" s="28" t="n"/>
      <c r="J47" s="29" t="n"/>
      <c r="K47" s="27" t="n"/>
      <c r="L47" s="28" t="n"/>
      <c r="M47" s="28" t="n"/>
    </row>
    <row r="48">
      <c r="A48" s="30" t="inlineStr">
        <is>
          <t>D-047</t>
        </is>
      </c>
      <c r="B48" s="28" t="n"/>
      <c r="C48" s="27" t="n"/>
      <c r="D48" s="28" t="n"/>
      <c r="E48" s="28" t="n"/>
      <c r="F48" s="28" t="n"/>
      <c r="G48" s="28" t="n"/>
      <c r="H48" s="28" t="n"/>
      <c r="I48" s="28" t="n"/>
      <c r="J48" s="29" t="n"/>
      <c r="K48" s="27" t="n"/>
      <c r="L48" s="28" t="n"/>
      <c r="M48" s="28" t="n"/>
    </row>
    <row r="49">
      <c r="A49" s="30" t="inlineStr">
        <is>
          <t>D-048</t>
        </is>
      </c>
      <c r="B49" s="28" t="n"/>
      <c r="C49" s="27" t="n"/>
      <c r="D49" s="28" t="n"/>
      <c r="E49" s="28" t="n"/>
      <c r="F49" s="28" t="n"/>
      <c r="G49" s="28" t="n"/>
      <c r="H49" s="28" t="n"/>
      <c r="I49" s="28" t="n"/>
      <c r="J49" s="29" t="n"/>
      <c r="K49" s="27" t="n"/>
      <c r="L49" s="28" t="n"/>
      <c r="M49" s="28" t="n"/>
    </row>
    <row r="50">
      <c r="A50" s="30" t="inlineStr">
        <is>
          <t>D-049</t>
        </is>
      </c>
      <c r="B50" s="28" t="n"/>
      <c r="C50" s="27" t="n"/>
      <c r="D50" s="28" t="n"/>
      <c r="E50" s="28" t="n"/>
      <c r="F50" s="28" t="n"/>
      <c r="G50" s="28" t="n"/>
      <c r="H50" s="28" t="n"/>
      <c r="I50" s="28" t="n"/>
      <c r="J50" s="29" t="n"/>
      <c r="K50" s="27" t="n"/>
      <c r="L50" s="28" t="n"/>
      <c r="M50" s="28" t="n"/>
    </row>
    <row r="51">
      <c r="A51" s="30" t="inlineStr">
        <is>
          <t>D-050</t>
        </is>
      </c>
      <c r="B51" s="28" t="n"/>
      <c r="C51" s="27" t="n"/>
      <c r="D51" s="28" t="n"/>
      <c r="E51" s="28" t="n"/>
      <c r="F51" s="28" t="n"/>
      <c r="G51" s="28" t="n"/>
      <c r="H51" s="28" t="n"/>
      <c r="I51" s="28" t="n"/>
      <c r="J51" s="29" t="n"/>
      <c r="K51" s="27" t="n"/>
      <c r="L51" s="28" t="n"/>
      <c r="M51" s="28" t="n"/>
    </row>
    <row r="52">
      <c r="A52" s="30" t="inlineStr">
        <is>
          <t>D-051</t>
        </is>
      </c>
      <c r="B52" s="28" t="n"/>
      <c r="C52" s="27" t="n"/>
      <c r="D52" s="28" t="n"/>
      <c r="E52" s="28" t="n"/>
      <c r="F52" s="28" t="n"/>
      <c r="G52" s="28" t="n"/>
      <c r="H52" s="28" t="n"/>
      <c r="I52" s="28" t="n"/>
      <c r="J52" s="29" t="n"/>
      <c r="K52" s="27" t="n"/>
      <c r="L52" s="28" t="n"/>
      <c r="M52" s="28" t="n"/>
    </row>
    <row r="53">
      <c r="A53" s="30" t="inlineStr">
        <is>
          <t>D-052</t>
        </is>
      </c>
      <c r="B53" s="28" t="n"/>
      <c r="C53" s="27" t="n"/>
      <c r="D53" s="28" t="n"/>
      <c r="E53" s="28" t="n"/>
      <c r="F53" s="28" t="n"/>
      <c r="G53" s="28" t="n"/>
      <c r="H53" s="28" t="n"/>
      <c r="I53" s="28" t="n"/>
      <c r="J53" s="29" t="n"/>
      <c r="K53" s="27" t="n"/>
      <c r="L53" s="28" t="n"/>
      <c r="M53" s="28" t="n"/>
    </row>
    <row r="54">
      <c r="A54" s="30" t="inlineStr">
        <is>
          <t>D-053</t>
        </is>
      </c>
      <c r="B54" s="28" t="n"/>
      <c r="C54" s="27" t="n"/>
      <c r="D54" s="28" t="n"/>
      <c r="E54" s="28" t="n"/>
      <c r="F54" s="28" t="n"/>
      <c r="G54" s="28" t="n"/>
      <c r="H54" s="28" t="n"/>
      <c r="I54" s="28" t="n"/>
      <c r="J54" s="29" t="n"/>
      <c r="K54" s="27" t="n"/>
      <c r="L54" s="28" t="n"/>
      <c r="M54" s="28" t="n"/>
    </row>
    <row r="55">
      <c r="A55" s="30" t="inlineStr">
        <is>
          <t>D-054</t>
        </is>
      </c>
      <c r="B55" s="28" t="n"/>
      <c r="C55" s="27" t="n"/>
      <c r="D55" s="28" t="n"/>
      <c r="E55" s="28" t="n"/>
      <c r="F55" s="28" t="n"/>
      <c r="G55" s="28" t="n"/>
      <c r="H55" s="28" t="n"/>
      <c r="I55" s="28" t="n"/>
      <c r="J55" s="29" t="n"/>
      <c r="K55" s="27" t="n"/>
      <c r="L55" s="28" t="n"/>
      <c r="M55" s="28" t="n"/>
    </row>
    <row r="56">
      <c r="A56" s="30" t="inlineStr">
        <is>
          <t>D-055</t>
        </is>
      </c>
      <c r="B56" s="28" t="n"/>
      <c r="C56" s="27" t="n"/>
      <c r="D56" s="28" t="n"/>
      <c r="E56" s="28" t="n"/>
      <c r="F56" s="28" t="n"/>
      <c r="G56" s="28" t="n"/>
      <c r="H56" s="28" t="n"/>
      <c r="I56" s="28" t="n"/>
      <c r="J56" s="29" t="n"/>
      <c r="K56" s="27" t="n"/>
      <c r="L56" s="28" t="n"/>
      <c r="M56" s="28" t="n"/>
    </row>
    <row r="57">
      <c r="A57" s="30" t="inlineStr">
        <is>
          <t>D-056</t>
        </is>
      </c>
      <c r="B57" s="28" t="n"/>
      <c r="C57" s="27" t="n"/>
      <c r="D57" s="28" t="n"/>
      <c r="E57" s="28" t="n"/>
      <c r="F57" s="28" t="n"/>
      <c r="G57" s="28" t="n"/>
      <c r="H57" s="28" t="n"/>
      <c r="I57" s="28" t="n"/>
      <c r="J57" s="29" t="n"/>
      <c r="K57" s="27" t="n"/>
      <c r="L57" s="28" t="n"/>
      <c r="M57" s="28" t="n"/>
    </row>
    <row r="58">
      <c r="A58" s="30" t="inlineStr">
        <is>
          <t>D-057</t>
        </is>
      </c>
      <c r="B58" s="28" t="n"/>
      <c r="C58" s="27" t="n"/>
      <c r="D58" s="28" t="n"/>
      <c r="E58" s="28" t="n"/>
      <c r="F58" s="28" t="n"/>
      <c r="G58" s="28" t="n"/>
      <c r="H58" s="28" t="n"/>
      <c r="I58" s="28" t="n"/>
      <c r="J58" s="29" t="n"/>
      <c r="K58" s="27" t="n"/>
      <c r="L58" s="28" t="n"/>
      <c r="M58" s="28" t="n"/>
    </row>
    <row r="59">
      <c r="A59" s="30" t="inlineStr">
        <is>
          <t>D-058</t>
        </is>
      </c>
      <c r="B59" s="28" t="n"/>
      <c r="C59" s="27" t="n"/>
      <c r="D59" s="28" t="n"/>
      <c r="E59" s="28" t="n"/>
      <c r="F59" s="28" t="n"/>
      <c r="G59" s="28" t="n"/>
      <c r="H59" s="28" t="n"/>
      <c r="I59" s="28" t="n"/>
      <c r="J59" s="29" t="n"/>
      <c r="K59" s="27" t="n"/>
      <c r="L59" s="28" t="n"/>
      <c r="M59" s="28" t="n"/>
    </row>
    <row r="60">
      <c r="A60" s="30" t="inlineStr">
        <is>
          <t>D-059</t>
        </is>
      </c>
      <c r="B60" s="28" t="n"/>
      <c r="C60" s="27" t="n"/>
      <c r="D60" s="28" t="n"/>
      <c r="E60" s="28" t="n"/>
      <c r="F60" s="28" t="n"/>
      <c r="G60" s="28" t="n"/>
      <c r="H60" s="28" t="n"/>
      <c r="I60" s="28" t="n"/>
      <c r="J60" s="29" t="n"/>
      <c r="K60" s="27" t="n"/>
      <c r="L60" s="28" t="n"/>
      <c r="M60" s="28" t="n"/>
    </row>
    <row r="61">
      <c r="A61" s="30" t="inlineStr">
        <is>
          <t>D-060</t>
        </is>
      </c>
      <c r="B61" s="28" t="n"/>
      <c r="C61" s="27" t="n"/>
      <c r="D61" s="28" t="n"/>
      <c r="E61" s="28" t="n"/>
      <c r="F61" s="28" t="n"/>
      <c r="G61" s="28" t="n"/>
      <c r="H61" s="28" t="n"/>
      <c r="I61" s="28" t="n"/>
      <c r="J61" s="29" t="n"/>
      <c r="K61" s="27" t="n"/>
      <c r="L61" s="28" t="n"/>
      <c r="M61" s="28" t="n"/>
    </row>
    <row r="62">
      <c r="A62" s="30" t="inlineStr">
        <is>
          <t>D-061</t>
        </is>
      </c>
      <c r="B62" s="28" t="n"/>
      <c r="C62" s="27" t="n"/>
      <c r="D62" s="28" t="n"/>
      <c r="E62" s="28" t="n"/>
      <c r="F62" s="28" t="n"/>
      <c r="G62" s="28" t="n"/>
      <c r="H62" s="28" t="n"/>
      <c r="I62" s="28" t="n"/>
      <c r="J62" s="29" t="n"/>
      <c r="K62" s="27" t="n"/>
      <c r="L62" s="28" t="n"/>
      <c r="M62" s="28" t="n"/>
    </row>
    <row r="63">
      <c r="A63" s="30" t="inlineStr">
        <is>
          <t>D-062</t>
        </is>
      </c>
      <c r="B63" s="28" t="n"/>
      <c r="C63" s="27" t="n"/>
      <c r="D63" s="28" t="n"/>
      <c r="E63" s="28" t="n"/>
      <c r="F63" s="28" t="n"/>
      <c r="G63" s="28" t="n"/>
      <c r="H63" s="28" t="n"/>
      <c r="I63" s="28" t="n"/>
      <c r="J63" s="29" t="n"/>
      <c r="K63" s="27" t="n"/>
      <c r="L63" s="28" t="n"/>
      <c r="M63" s="28" t="n"/>
    </row>
    <row r="64">
      <c r="A64" s="30" t="inlineStr">
        <is>
          <t>D-063</t>
        </is>
      </c>
      <c r="B64" s="28" t="n"/>
      <c r="C64" s="27" t="n"/>
      <c r="D64" s="28" t="n"/>
      <c r="E64" s="28" t="n"/>
      <c r="F64" s="28" t="n"/>
      <c r="G64" s="28" t="n"/>
      <c r="H64" s="28" t="n"/>
      <c r="I64" s="28" t="n"/>
      <c r="J64" s="29" t="n"/>
      <c r="K64" s="27" t="n"/>
      <c r="L64" s="28" t="n"/>
      <c r="M64" s="28" t="n"/>
    </row>
    <row r="65">
      <c r="A65" s="30" t="inlineStr">
        <is>
          <t>D-064</t>
        </is>
      </c>
      <c r="B65" s="28" t="n"/>
      <c r="C65" s="27" t="n"/>
      <c r="D65" s="28" t="n"/>
      <c r="E65" s="28" t="n"/>
      <c r="F65" s="28" t="n"/>
      <c r="G65" s="28" t="n"/>
      <c r="H65" s="28" t="n"/>
      <c r="I65" s="28" t="n"/>
      <c r="J65" s="29" t="n"/>
      <c r="K65" s="27" t="n"/>
      <c r="L65" s="28" t="n"/>
      <c r="M65" s="28" t="n"/>
    </row>
    <row r="66">
      <c r="A66" s="30" t="inlineStr">
        <is>
          <t>D-065</t>
        </is>
      </c>
      <c r="B66" s="28" t="n"/>
      <c r="C66" s="27" t="n"/>
      <c r="D66" s="28" t="n"/>
      <c r="E66" s="28" t="n"/>
      <c r="F66" s="28" t="n"/>
      <c r="G66" s="28" t="n"/>
      <c r="H66" s="28" t="n"/>
      <c r="I66" s="28" t="n"/>
      <c r="J66" s="29" t="n"/>
      <c r="K66" s="27" t="n"/>
      <c r="L66" s="28" t="n"/>
      <c r="M66" s="28" t="n"/>
    </row>
    <row r="67">
      <c r="A67" s="30" t="inlineStr">
        <is>
          <t>D-066</t>
        </is>
      </c>
      <c r="B67" s="28" t="n"/>
      <c r="C67" s="27" t="n"/>
      <c r="D67" s="28" t="n"/>
      <c r="E67" s="28" t="n"/>
      <c r="F67" s="28" t="n"/>
      <c r="G67" s="28" t="n"/>
      <c r="H67" s="28" t="n"/>
      <c r="I67" s="28" t="n"/>
      <c r="J67" s="29" t="n"/>
      <c r="K67" s="27" t="n"/>
      <c r="L67" s="28" t="n"/>
      <c r="M67" s="28" t="n"/>
    </row>
    <row r="68">
      <c r="A68" s="30" t="inlineStr">
        <is>
          <t>D-067</t>
        </is>
      </c>
      <c r="B68" s="28" t="n"/>
      <c r="C68" s="27" t="n"/>
      <c r="D68" s="28" t="n"/>
      <c r="E68" s="28" t="n"/>
      <c r="F68" s="28" t="n"/>
      <c r="G68" s="28" t="n"/>
      <c r="H68" s="28" t="n"/>
      <c r="I68" s="28" t="n"/>
      <c r="J68" s="29" t="n"/>
      <c r="K68" s="27" t="n"/>
      <c r="L68" s="28" t="n"/>
      <c r="M68" s="28" t="n"/>
    </row>
    <row r="69">
      <c r="A69" s="30" t="inlineStr">
        <is>
          <t>D-068</t>
        </is>
      </c>
      <c r="B69" s="28" t="n"/>
      <c r="C69" s="27" t="n"/>
      <c r="D69" s="28" t="n"/>
      <c r="E69" s="28" t="n"/>
      <c r="F69" s="28" t="n"/>
      <c r="G69" s="28" t="n"/>
      <c r="H69" s="28" t="n"/>
      <c r="I69" s="28" t="n"/>
      <c r="J69" s="29" t="n"/>
      <c r="K69" s="27" t="n"/>
      <c r="L69" s="28" t="n"/>
      <c r="M69" s="28" t="n"/>
    </row>
    <row r="70">
      <c r="A70" s="30" t="inlineStr">
        <is>
          <t>D-069</t>
        </is>
      </c>
      <c r="B70" s="28" t="n"/>
      <c r="C70" s="27" t="n"/>
      <c r="D70" s="28" t="n"/>
      <c r="E70" s="28" t="n"/>
      <c r="F70" s="28" t="n"/>
      <c r="G70" s="28" t="n"/>
      <c r="H70" s="28" t="n"/>
      <c r="I70" s="28" t="n"/>
      <c r="J70" s="29" t="n"/>
      <c r="K70" s="27" t="n"/>
      <c r="L70" s="28" t="n"/>
      <c r="M70" s="28" t="n"/>
    </row>
    <row r="71">
      <c r="A71" s="30" t="inlineStr">
        <is>
          <t>D-070</t>
        </is>
      </c>
      <c r="B71" s="28" t="n"/>
      <c r="C71" s="27" t="n"/>
      <c r="D71" s="28" t="n"/>
      <c r="E71" s="28" t="n"/>
      <c r="F71" s="28" t="n"/>
      <c r="G71" s="28" t="n"/>
      <c r="H71" s="28" t="n"/>
      <c r="I71" s="28" t="n"/>
      <c r="J71" s="29" t="n"/>
      <c r="K71" s="27" t="n"/>
      <c r="L71" s="28" t="n"/>
      <c r="M71" s="28" t="n"/>
    </row>
    <row r="72">
      <c r="A72" s="30" t="inlineStr">
        <is>
          <t>D-071</t>
        </is>
      </c>
      <c r="B72" s="28" t="n"/>
      <c r="C72" s="27" t="n"/>
      <c r="D72" s="28" t="n"/>
      <c r="E72" s="28" t="n"/>
      <c r="F72" s="28" t="n"/>
      <c r="G72" s="28" t="n"/>
      <c r="H72" s="28" t="n"/>
      <c r="I72" s="28" t="n"/>
      <c r="J72" s="29" t="n"/>
      <c r="K72" s="27" t="n"/>
      <c r="L72" s="28" t="n"/>
      <c r="M72" s="28" t="n"/>
    </row>
    <row r="73">
      <c r="A73" s="30" t="inlineStr">
        <is>
          <t>D-072</t>
        </is>
      </c>
      <c r="B73" s="28" t="n"/>
      <c r="C73" s="27" t="n"/>
      <c r="D73" s="28" t="n"/>
      <c r="E73" s="28" t="n"/>
      <c r="F73" s="28" t="n"/>
      <c r="G73" s="28" t="n"/>
      <c r="H73" s="28" t="n"/>
      <c r="I73" s="28" t="n"/>
      <c r="J73" s="29" t="n"/>
      <c r="K73" s="27" t="n"/>
      <c r="L73" s="28" t="n"/>
      <c r="M73" s="28" t="n"/>
    </row>
    <row r="74">
      <c r="A74" s="30" t="inlineStr">
        <is>
          <t>D-073</t>
        </is>
      </c>
      <c r="B74" s="28" t="n"/>
      <c r="C74" s="27" t="n"/>
      <c r="D74" s="28" t="n"/>
      <c r="E74" s="28" t="n"/>
      <c r="F74" s="28" t="n"/>
      <c r="G74" s="28" t="n"/>
      <c r="H74" s="28" t="n"/>
      <c r="I74" s="28" t="n"/>
      <c r="J74" s="29" t="n"/>
      <c r="K74" s="27" t="n"/>
      <c r="L74" s="28" t="n"/>
      <c r="M74" s="28" t="n"/>
    </row>
    <row r="75">
      <c r="A75" s="30" t="inlineStr">
        <is>
          <t>D-074</t>
        </is>
      </c>
      <c r="B75" s="28" t="n"/>
      <c r="C75" s="27" t="n"/>
      <c r="D75" s="28" t="n"/>
      <c r="E75" s="28" t="n"/>
      <c r="F75" s="28" t="n"/>
      <c r="G75" s="28" t="n"/>
      <c r="H75" s="28" t="n"/>
      <c r="I75" s="28" t="n"/>
      <c r="J75" s="29" t="n"/>
      <c r="K75" s="27" t="n"/>
      <c r="L75" s="28" t="n"/>
      <c r="M75" s="28" t="n"/>
    </row>
    <row r="76">
      <c r="A76" s="30" t="inlineStr">
        <is>
          <t>D-075</t>
        </is>
      </c>
      <c r="B76" s="28" t="n"/>
      <c r="C76" s="27" t="n"/>
      <c r="D76" s="28" t="n"/>
      <c r="E76" s="28" t="n"/>
      <c r="F76" s="28" t="n"/>
      <c r="G76" s="28" t="n"/>
      <c r="H76" s="28" t="n"/>
      <c r="I76" s="28" t="n"/>
      <c r="J76" s="29" t="n"/>
      <c r="K76" s="27" t="n"/>
      <c r="L76" s="28" t="n"/>
      <c r="M76" s="28" t="n"/>
    </row>
    <row r="77">
      <c r="A77" s="30" t="inlineStr">
        <is>
          <t>D-076</t>
        </is>
      </c>
      <c r="B77" s="28" t="n"/>
      <c r="C77" s="27" t="n"/>
      <c r="D77" s="28" t="n"/>
      <c r="E77" s="28" t="n"/>
      <c r="F77" s="28" t="n"/>
      <c r="G77" s="28" t="n"/>
      <c r="H77" s="28" t="n"/>
      <c r="I77" s="28" t="n"/>
      <c r="J77" s="29" t="n"/>
      <c r="K77" s="27" t="n"/>
      <c r="L77" s="28" t="n"/>
      <c r="M77" s="28" t="n"/>
    </row>
    <row r="78">
      <c r="A78" s="30" t="inlineStr">
        <is>
          <t>D-077</t>
        </is>
      </c>
      <c r="B78" s="28" t="n"/>
      <c r="C78" s="27" t="n"/>
      <c r="D78" s="28" t="n"/>
      <c r="E78" s="28" t="n"/>
      <c r="F78" s="28" t="n"/>
      <c r="G78" s="28" t="n"/>
      <c r="H78" s="28" t="n"/>
      <c r="I78" s="28" t="n"/>
      <c r="J78" s="29" t="n"/>
      <c r="K78" s="27" t="n"/>
      <c r="L78" s="28" t="n"/>
      <c r="M78" s="28" t="n"/>
    </row>
    <row r="79">
      <c r="A79" s="30" t="inlineStr">
        <is>
          <t>D-078</t>
        </is>
      </c>
      <c r="B79" s="28" t="n"/>
      <c r="C79" s="27" t="n"/>
      <c r="D79" s="28" t="n"/>
      <c r="E79" s="28" t="n"/>
      <c r="F79" s="28" t="n"/>
      <c r="G79" s="28" t="n"/>
      <c r="H79" s="28" t="n"/>
      <c r="I79" s="28" t="n"/>
      <c r="J79" s="29" t="n"/>
      <c r="K79" s="27" t="n"/>
      <c r="L79" s="28" t="n"/>
      <c r="M79" s="28" t="n"/>
    </row>
    <row r="80">
      <c r="A80" s="30" t="inlineStr">
        <is>
          <t>D-079</t>
        </is>
      </c>
      <c r="B80" s="28" t="n"/>
      <c r="C80" s="27" t="n"/>
      <c r="D80" s="28" t="n"/>
      <c r="E80" s="28" t="n"/>
      <c r="F80" s="28" t="n"/>
      <c r="G80" s="28" t="n"/>
      <c r="H80" s="28" t="n"/>
      <c r="I80" s="28" t="n"/>
      <c r="J80" s="29" t="n"/>
      <c r="K80" s="27" t="n"/>
      <c r="L80" s="28" t="n"/>
      <c r="M80" s="28" t="n"/>
    </row>
    <row r="81">
      <c r="A81" s="30" t="inlineStr">
        <is>
          <t>D-080</t>
        </is>
      </c>
      <c r="B81" s="28" t="n"/>
      <c r="C81" s="27" t="n"/>
      <c r="D81" s="28" t="n"/>
      <c r="E81" s="28" t="n"/>
      <c r="F81" s="28" t="n"/>
      <c r="G81" s="28" t="n"/>
      <c r="H81" s="28" t="n"/>
      <c r="I81" s="28" t="n"/>
      <c r="J81" s="29" t="n"/>
      <c r="K81" s="27" t="n"/>
      <c r="L81" s="28" t="n"/>
      <c r="M81" s="28" t="n"/>
    </row>
    <row r="82">
      <c r="A82" s="30" t="inlineStr">
        <is>
          <t>D-081</t>
        </is>
      </c>
      <c r="B82" s="28" t="n"/>
      <c r="C82" s="27" t="n"/>
      <c r="D82" s="28" t="n"/>
      <c r="E82" s="28" t="n"/>
      <c r="F82" s="28" t="n"/>
      <c r="G82" s="28" t="n"/>
      <c r="H82" s="28" t="n"/>
      <c r="I82" s="28" t="n"/>
      <c r="J82" s="29" t="n"/>
      <c r="K82" s="27" t="n"/>
      <c r="L82" s="28" t="n"/>
      <c r="M82" s="28" t="n"/>
    </row>
    <row r="83">
      <c r="A83" s="30" t="inlineStr">
        <is>
          <t>D-082</t>
        </is>
      </c>
      <c r="B83" s="28" t="n"/>
      <c r="C83" s="27" t="n"/>
      <c r="D83" s="28" t="n"/>
      <c r="E83" s="28" t="n"/>
      <c r="F83" s="28" t="n"/>
      <c r="G83" s="28" t="n"/>
      <c r="H83" s="28" t="n"/>
      <c r="I83" s="28" t="n"/>
      <c r="J83" s="29" t="n"/>
      <c r="K83" s="27" t="n"/>
      <c r="L83" s="28" t="n"/>
      <c r="M83" s="28" t="n"/>
    </row>
    <row r="84">
      <c r="A84" s="30" t="inlineStr">
        <is>
          <t>D-083</t>
        </is>
      </c>
      <c r="B84" s="28" t="n"/>
      <c r="C84" s="27" t="n"/>
      <c r="D84" s="28" t="n"/>
      <c r="E84" s="28" t="n"/>
      <c r="F84" s="28" t="n"/>
      <c r="G84" s="28" t="n"/>
      <c r="H84" s="28" t="n"/>
      <c r="I84" s="28" t="n"/>
      <c r="J84" s="29" t="n"/>
      <c r="K84" s="27" t="n"/>
      <c r="L84" s="28" t="n"/>
      <c r="M84" s="28" t="n"/>
    </row>
    <row r="85">
      <c r="A85" s="30" t="inlineStr">
        <is>
          <t>D-084</t>
        </is>
      </c>
      <c r="B85" s="28" t="n"/>
      <c r="C85" s="27" t="n"/>
      <c r="D85" s="28" t="n"/>
      <c r="E85" s="28" t="n"/>
      <c r="F85" s="28" t="n"/>
      <c r="G85" s="28" t="n"/>
      <c r="H85" s="28" t="n"/>
      <c r="I85" s="28" t="n"/>
      <c r="J85" s="29" t="n"/>
      <c r="K85" s="27" t="n"/>
      <c r="L85" s="28" t="n"/>
      <c r="M85" s="28" t="n"/>
    </row>
    <row r="86">
      <c r="A86" s="30" t="inlineStr">
        <is>
          <t>D-085</t>
        </is>
      </c>
      <c r="B86" s="28" t="n"/>
      <c r="C86" s="27" t="n"/>
      <c r="D86" s="28" t="n"/>
      <c r="E86" s="28" t="n"/>
      <c r="F86" s="28" t="n"/>
      <c r="G86" s="28" t="n"/>
      <c r="H86" s="28" t="n"/>
      <c r="I86" s="28" t="n"/>
      <c r="J86" s="29" t="n"/>
      <c r="K86" s="27" t="n"/>
      <c r="L86" s="28" t="n"/>
      <c r="M86" s="28" t="n"/>
    </row>
    <row r="87">
      <c r="A87" s="30" t="inlineStr">
        <is>
          <t>D-086</t>
        </is>
      </c>
      <c r="B87" s="28" t="n"/>
      <c r="C87" s="27" t="n"/>
      <c r="D87" s="28" t="n"/>
      <c r="E87" s="28" t="n"/>
      <c r="F87" s="28" t="n"/>
      <c r="G87" s="28" t="n"/>
      <c r="H87" s="28" t="n"/>
      <c r="I87" s="28" t="n"/>
      <c r="J87" s="29" t="n"/>
      <c r="K87" s="27" t="n"/>
      <c r="L87" s="28" t="n"/>
      <c r="M87" s="28" t="n"/>
    </row>
    <row r="88">
      <c r="A88" s="30" t="inlineStr">
        <is>
          <t>D-087</t>
        </is>
      </c>
      <c r="B88" s="28" t="n"/>
      <c r="C88" s="27" t="n"/>
      <c r="D88" s="28" t="n"/>
      <c r="E88" s="28" t="n"/>
      <c r="F88" s="28" t="n"/>
      <c r="G88" s="28" t="n"/>
      <c r="H88" s="28" t="n"/>
      <c r="I88" s="28" t="n"/>
      <c r="J88" s="29" t="n"/>
      <c r="K88" s="27" t="n"/>
      <c r="L88" s="28" t="n"/>
      <c r="M88" s="28" t="n"/>
    </row>
    <row r="89">
      <c r="A89" s="30" t="inlineStr">
        <is>
          <t>D-088</t>
        </is>
      </c>
      <c r="B89" s="28" t="n"/>
      <c r="C89" s="27" t="n"/>
      <c r="D89" s="28" t="n"/>
      <c r="E89" s="28" t="n"/>
      <c r="F89" s="28" t="n"/>
      <c r="G89" s="28" t="n"/>
      <c r="H89" s="28" t="n"/>
      <c r="I89" s="28" t="n"/>
      <c r="J89" s="29" t="n"/>
      <c r="K89" s="27" t="n"/>
      <c r="L89" s="28" t="n"/>
      <c r="M89" s="28" t="n"/>
    </row>
    <row r="90">
      <c r="A90" s="30" t="inlineStr">
        <is>
          <t>D-089</t>
        </is>
      </c>
      <c r="B90" s="28" t="n"/>
      <c r="C90" s="27" t="n"/>
      <c r="D90" s="28" t="n"/>
      <c r="E90" s="28" t="n"/>
      <c r="F90" s="28" t="n"/>
      <c r="G90" s="28" t="n"/>
      <c r="H90" s="28" t="n"/>
      <c r="I90" s="28" t="n"/>
      <c r="J90" s="29" t="n"/>
      <c r="K90" s="27" t="n"/>
      <c r="L90" s="28" t="n"/>
      <c r="M90" s="28" t="n"/>
    </row>
    <row r="91">
      <c r="A91" s="30" t="inlineStr">
        <is>
          <t>D-090</t>
        </is>
      </c>
      <c r="B91" s="28" t="n"/>
      <c r="C91" s="27" t="n"/>
      <c r="D91" s="28" t="n"/>
      <c r="E91" s="28" t="n"/>
      <c r="F91" s="28" t="n"/>
      <c r="G91" s="28" t="n"/>
      <c r="H91" s="28" t="n"/>
      <c r="I91" s="28" t="n"/>
      <c r="J91" s="29" t="n"/>
      <c r="K91" s="27" t="n"/>
      <c r="L91" s="28" t="n"/>
      <c r="M91" s="28" t="n"/>
    </row>
    <row r="92">
      <c r="A92" s="30" t="inlineStr">
        <is>
          <t>D-091</t>
        </is>
      </c>
      <c r="B92" s="28" t="n"/>
      <c r="C92" s="27" t="n"/>
      <c r="D92" s="28" t="n"/>
      <c r="E92" s="28" t="n"/>
      <c r="F92" s="28" t="n"/>
      <c r="G92" s="28" t="n"/>
      <c r="H92" s="28" t="n"/>
      <c r="I92" s="28" t="n"/>
      <c r="J92" s="29" t="n"/>
      <c r="K92" s="27" t="n"/>
      <c r="L92" s="28" t="n"/>
      <c r="M92" s="28" t="n"/>
    </row>
    <row r="93">
      <c r="A93" s="30" t="inlineStr">
        <is>
          <t>D-092</t>
        </is>
      </c>
      <c r="B93" s="28" t="n"/>
      <c r="C93" s="27" t="n"/>
      <c r="D93" s="28" t="n"/>
      <c r="E93" s="28" t="n"/>
      <c r="F93" s="28" t="n"/>
      <c r="G93" s="28" t="n"/>
      <c r="H93" s="28" t="n"/>
      <c r="I93" s="28" t="n"/>
      <c r="J93" s="29" t="n"/>
      <c r="K93" s="27" t="n"/>
      <c r="L93" s="28" t="n"/>
      <c r="M93" s="28" t="n"/>
    </row>
    <row r="94">
      <c r="A94" s="30" t="inlineStr">
        <is>
          <t>D-093</t>
        </is>
      </c>
      <c r="B94" s="28" t="n"/>
      <c r="C94" s="27" t="n"/>
      <c r="D94" s="28" t="n"/>
      <c r="E94" s="28" t="n"/>
      <c r="F94" s="28" t="n"/>
      <c r="G94" s="28" t="n"/>
      <c r="H94" s="28" t="n"/>
      <c r="I94" s="28" t="n"/>
      <c r="J94" s="29" t="n"/>
      <c r="K94" s="27" t="n"/>
      <c r="L94" s="28" t="n"/>
      <c r="M94" s="28" t="n"/>
    </row>
    <row r="95">
      <c r="A95" s="30" t="inlineStr">
        <is>
          <t>D-094</t>
        </is>
      </c>
      <c r="B95" s="28" t="n"/>
      <c r="C95" s="27" t="n"/>
      <c r="D95" s="28" t="n"/>
      <c r="E95" s="28" t="n"/>
      <c r="F95" s="28" t="n"/>
      <c r="G95" s="28" t="n"/>
      <c r="H95" s="28" t="n"/>
      <c r="I95" s="28" t="n"/>
      <c r="J95" s="29" t="n"/>
      <c r="K95" s="27" t="n"/>
      <c r="L95" s="28" t="n"/>
      <c r="M95" s="28" t="n"/>
    </row>
    <row r="96">
      <c r="A96" s="30" t="inlineStr">
        <is>
          <t>D-095</t>
        </is>
      </c>
      <c r="B96" s="28" t="n"/>
      <c r="C96" s="27" t="n"/>
      <c r="D96" s="28" t="n"/>
      <c r="E96" s="28" t="n"/>
      <c r="F96" s="28" t="n"/>
      <c r="G96" s="28" t="n"/>
      <c r="H96" s="28" t="n"/>
      <c r="I96" s="28" t="n"/>
      <c r="J96" s="29" t="n"/>
      <c r="K96" s="27" t="n"/>
      <c r="L96" s="28" t="n"/>
      <c r="M96" s="28" t="n"/>
    </row>
    <row r="97">
      <c r="A97" s="30" t="inlineStr">
        <is>
          <t>D-096</t>
        </is>
      </c>
      <c r="B97" s="28" t="n"/>
      <c r="C97" s="27" t="n"/>
      <c r="D97" s="28" t="n"/>
      <c r="E97" s="28" t="n"/>
      <c r="F97" s="28" t="n"/>
      <c r="G97" s="28" t="n"/>
      <c r="H97" s="28" t="n"/>
      <c r="I97" s="28" t="n"/>
      <c r="J97" s="29" t="n"/>
      <c r="K97" s="27" t="n"/>
      <c r="L97" s="28" t="n"/>
      <c r="M97" s="28" t="n"/>
    </row>
    <row r="98">
      <c r="A98" s="30" t="inlineStr">
        <is>
          <t>D-097</t>
        </is>
      </c>
      <c r="B98" s="28" t="n"/>
      <c r="C98" s="27" t="n"/>
      <c r="D98" s="28" t="n"/>
      <c r="E98" s="28" t="n"/>
      <c r="F98" s="28" t="n"/>
      <c r="G98" s="28" t="n"/>
      <c r="H98" s="28" t="n"/>
      <c r="I98" s="28" t="n"/>
      <c r="J98" s="29" t="n"/>
      <c r="K98" s="27" t="n"/>
      <c r="L98" s="28" t="n"/>
      <c r="M98" s="28" t="n"/>
    </row>
    <row r="99">
      <c r="A99" s="30" t="inlineStr">
        <is>
          <t>D-098</t>
        </is>
      </c>
      <c r="B99" s="28" t="n"/>
      <c r="C99" s="27" t="n"/>
      <c r="D99" s="28" t="n"/>
      <c r="E99" s="28" t="n"/>
      <c r="F99" s="28" t="n"/>
      <c r="G99" s="28" t="n"/>
      <c r="H99" s="28" t="n"/>
      <c r="I99" s="28" t="n"/>
      <c r="J99" s="29" t="n"/>
      <c r="K99" s="27" t="n"/>
      <c r="L99" s="28" t="n"/>
      <c r="M99" s="28" t="n"/>
    </row>
    <row r="100">
      <c r="A100" s="30" t="inlineStr">
        <is>
          <t>D-099</t>
        </is>
      </c>
      <c r="B100" s="28" t="n"/>
      <c r="C100" s="27" t="n"/>
      <c r="D100" s="28" t="n"/>
      <c r="E100" s="28" t="n"/>
      <c r="F100" s="28" t="n"/>
      <c r="G100" s="28" t="n"/>
      <c r="H100" s="28" t="n"/>
      <c r="I100" s="28" t="n"/>
      <c r="J100" s="29" t="n"/>
      <c r="K100" s="27" t="n"/>
      <c r="L100" s="28" t="n"/>
      <c r="M100" s="28" t="n"/>
    </row>
    <row r="101">
      <c r="A101" s="30" t="inlineStr">
        <is>
          <t>D-100</t>
        </is>
      </c>
      <c r="B101" s="28" t="n"/>
      <c r="C101" s="27" t="n"/>
      <c r="D101" s="28" t="n"/>
      <c r="E101" s="28" t="n"/>
      <c r="F101" s="28" t="n"/>
      <c r="G101" s="28" t="n"/>
      <c r="H101" s="28" t="n"/>
      <c r="I101" s="28" t="n"/>
      <c r="J101" s="29" t="n"/>
      <c r="K101" s="27" t="n"/>
      <c r="L101" s="28" t="n"/>
      <c r="M101" s="28" t="n"/>
    </row>
  </sheetData>
  <autoFilter ref="A1:M101"/>
  <conditionalFormatting sqref="C2:C101">
    <cfRule type="cellIs" priority="1" operator="equal" dxfId="2">
      <formula>"Critical"</formula>
    </cfRule>
    <cfRule type="cellIs" priority="2" operator="equal" dxfId="3">
      <formula>"Major"</formula>
    </cfRule>
  </conditionalFormatting>
  <dataValidations count="3">
    <dataValidation sqref="C2:C101" showDropDown="0" showInputMessage="0" showErrorMessage="1" allowBlank="1" type="list">
      <formula1>"Critical,Major,Minor"</formula1>
    </dataValidation>
    <dataValidation sqref="K2:K101" showDropDown="0" showInputMessage="0" showErrorMessage="1" allowBlank="1" type="list">
      <formula1>"Open,In progress,Fixed,Retest,Closed,Not a defect"</formula1>
    </dataValidation>
    <dataValidation sqref="J2:J101" showDropDown="0" showInputMessage="0" showErrorMessage="1" allowBlank="1" type="date" operator="greaterThan">
      <formula1>36526</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8794AE"/>
    <outlinePr summaryBelow="1" summaryRight="1"/>
    <pageSetUpPr/>
  </sheetPr>
  <dimension ref="A1:F57"/>
  <sheetViews>
    <sheetView showGridLines="0" workbookViewId="0">
      <selection activeCell="A1" sqref="A1"/>
    </sheetView>
  </sheetViews>
  <sheetFormatPr baseColWidth="8" defaultRowHeight="15"/>
  <cols>
    <col width="22" customWidth="1" min="1" max="1"/>
    <col width="26" customWidth="1" min="2" max="2"/>
    <col width="24" customWidth="1" min="3" max="3"/>
    <col width="22" customWidth="1" min="4" max="4"/>
    <col width="70" customWidth="1" min="5" max="5"/>
    <col width="30" customWidth="1" min="6" max="6"/>
    <col width="30" customWidth="1" min="7" max="7"/>
    <col width="30" customWidth="1" min="8" max="8"/>
  </cols>
  <sheetData>
    <row r="1">
      <c r="A1" s="1" t="inlineStr">
        <is>
          <t>Test data: what you test against</t>
        </is>
      </c>
    </row>
    <row r="3">
      <c r="A3" s="3" t="inlineStr">
        <is>
          <t>People (demo accounts)</t>
        </is>
      </c>
    </row>
    <row r="4" ht="30" customHeight="1">
      <c r="A4" s="9" t="inlineStr">
        <is>
          <t>Role</t>
        </is>
      </c>
      <c r="B4" s="9" t="inlineStr">
        <is>
          <t>Person</t>
        </is>
      </c>
      <c r="C4" s="9" t="inlineStr">
        <is>
          <t>Lands on</t>
        </is>
      </c>
      <c r="D4" s="9" t="inlineStr">
        <is>
          <t>Owns / covers</t>
        </is>
      </c>
    </row>
    <row r="5" ht="56" customHeight="1">
      <c r="A5" s="25" t="inlineStr">
        <is>
          <t>Dispatcher</t>
        </is>
      </c>
      <c r="B5" s="25" t="inlineStr">
        <is>
          <t>Ana Cruz</t>
        </is>
      </c>
      <c r="C5" s="25" t="inlineStr">
        <is>
          <t>My Tasks</t>
        </is>
      </c>
      <c r="D5" s="25" t="inlineStr">
        <is>
          <t>Customers: Sample Trading Co., Pacific Rim Logistics Partners, Meridian Import Export Ltd.</t>
        </is>
      </c>
    </row>
    <row r="6" ht="43" customHeight="1">
      <c r="A6" s="25" t="inlineStr">
        <is>
          <t>Dispatcher</t>
        </is>
      </c>
      <c r="B6" s="25" t="inlineStr">
        <is>
          <t>Cathy Lim</t>
        </is>
      </c>
      <c r="C6" s="25" t="inlineStr">
        <is>
          <t>My Tasks</t>
        </is>
      </c>
      <c r="D6" s="25" t="inlineStr">
        <is>
          <t>Customers: Golden Harvest Exports Inc., BlueWave Distribution Corp.</t>
        </is>
      </c>
    </row>
    <row r="7" ht="43" customHeight="1">
      <c r="A7" s="25" t="inlineStr">
        <is>
          <t>Warehouse Crew</t>
        </is>
      </c>
      <c r="B7" s="25" t="inlineStr">
        <is>
          <t>Ben Santos</t>
        </is>
      </c>
      <c r="C7" s="25" t="inlineStr">
        <is>
          <t>My Tasks</t>
        </is>
      </c>
      <c r="D7" s="25" t="inlineStr">
        <is>
          <t>Odd-numbered jobs: SJ-2026-00101, 00095, 00077, 00065</t>
        </is>
      </c>
    </row>
    <row r="8" ht="56" customHeight="1">
      <c r="A8" s="25" t="inlineStr">
        <is>
          <t>Warehouse Crew</t>
        </is>
      </c>
      <c r="B8" s="25" t="inlineStr">
        <is>
          <t>Rico Domingo</t>
        </is>
      </c>
      <c r="C8" s="25" t="inlineStr">
        <is>
          <t>My Tasks</t>
        </is>
      </c>
      <c r="D8" s="25" t="inlineStr">
        <is>
          <t>Even-numbered jobs: SJ-2026-00088, 00082, 00130, 00070, 00120, 00060, 00050, 00110</t>
        </is>
      </c>
    </row>
    <row r="9" ht="30" customHeight="1">
      <c r="A9" s="25" t="inlineStr">
        <is>
          <t>Manager</t>
        </is>
      </c>
      <c r="B9" s="25" t="inlineStr">
        <is>
          <t>Grace Tan</t>
        </is>
      </c>
      <c r="C9" s="25" t="inlineStr">
        <is>
          <t>Dashboard</t>
        </is>
      </c>
      <c r="D9" s="25" t="inlineStr">
        <is>
          <t>Everything except Users &amp; Roles</t>
        </is>
      </c>
    </row>
    <row r="10" ht="17" customHeight="1">
      <c r="A10" s="25" t="inlineStr">
        <is>
          <t>Admin</t>
        </is>
      </c>
      <c r="B10" s="25" t="inlineStr">
        <is>
          <t>Mark Villar</t>
        </is>
      </c>
      <c r="C10" s="25" t="inlineStr">
        <is>
          <t>Dashboard</t>
        </is>
      </c>
      <c r="D10" s="25" t="inlineStr">
        <is>
          <t>Everything</t>
        </is>
      </c>
    </row>
    <row r="11" ht="43" customHeight="1">
      <c r="A11" s="25" t="inlineStr">
        <is>
          <t>Finance</t>
        </is>
      </c>
      <c r="B11" s="25" t="inlineStr">
        <is>
          <t>Paolo Reyes</t>
        </is>
      </c>
      <c r="C11" s="25" t="inlineStr">
        <is>
          <t>Dashboard</t>
        </is>
      </c>
      <c r="D11" s="25" t="inlineStr">
        <is>
          <t>Read-only view of jobs, charges and audit trail</t>
        </is>
      </c>
    </row>
    <row r="12" ht="30" customHeight="1">
      <c r="A12" s="25" t="inlineStr">
        <is>
          <t>Customer (no account)</t>
        </is>
      </c>
      <c r="B12" s="25" t="inlineStr">
        <is>
          <t>Any customer contact</t>
        </is>
      </c>
      <c r="C12" s="25" t="inlineStr">
        <is>
          <t>Public tracking page</t>
        </is>
      </c>
      <c r="D12" s="25" t="inlineStr">
        <is>
          <t>Sees only shipment status</t>
        </is>
      </c>
    </row>
    <row r="14">
      <c r="A14" s="3" t="inlineStr">
        <is>
          <t>Sample shipments</t>
        </is>
      </c>
    </row>
    <row r="15">
      <c r="A15" s="2" t="inlineStr">
        <is>
          <t>Today is 28 Sep 2026. Dispatcher = the customer's dispatcher; Crew = the covering warehouse person.</t>
        </is>
      </c>
    </row>
    <row r="16" ht="30" customHeight="1">
      <c r="A16" s="9" t="inlineStr">
        <is>
          <t>Job</t>
        </is>
      </c>
      <c r="B16" s="9" t="inlineStr">
        <is>
          <t>Customer</t>
        </is>
      </c>
      <c r="C16" s="9" t="inlineStr">
        <is>
          <t>Dispatcher / Crew</t>
        </is>
      </c>
      <c r="D16" s="9" t="inlineStr">
        <is>
          <t>Stage now</t>
        </is>
      </c>
      <c r="E16" s="9" t="inlineStr">
        <is>
          <t>What is special about it</t>
        </is>
      </c>
    </row>
    <row r="17" ht="30" customHeight="1">
      <c r="A17" s="25" t="inlineStr">
        <is>
          <t>SJ-2026-00101</t>
        </is>
      </c>
      <c r="B17" s="25" t="inlineStr">
        <is>
          <t>Sample Trading Co.</t>
        </is>
      </c>
      <c r="C17" s="25" t="inlineStr">
        <is>
          <t>Ana / Ben</t>
        </is>
      </c>
      <c r="D17" s="25" t="inlineStr">
        <is>
          <t>Billing Ready</t>
        </is>
      </c>
      <c r="E17" s="25" t="inlineStr">
        <is>
          <t>Balance owed: client sent ₱140,000, we spent ₱150,400 and our fee is ₱3,500, so bill client ₱13,900. Quote ₱174,500. Has a pre-built PDF.</t>
        </is>
      </c>
    </row>
    <row r="18" ht="30" customHeight="1">
      <c r="A18" s="25" t="inlineStr">
        <is>
          <t>SJ-2026-00095</t>
        </is>
      </c>
      <c r="B18" s="25" t="inlineStr">
        <is>
          <t>Golden Harvest</t>
        </is>
      </c>
      <c r="C18" s="25" t="inlineStr">
        <is>
          <t>Cathy / Ben</t>
        </is>
      </c>
      <c r="D18" s="25" t="inlineStr">
        <is>
          <t>Documentation</t>
        </is>
      </c>
      <c r="E18" s="25" t="inlineStr">
        <is>
          <t>Document problems: Bill of Lading pending review, Certificate of Origin rejected, Import Permit missing. High priority.</t>
        </is>
      </c>
    </row>
    <row r="19" ht="17" customHeight="1">
      <c r="A19" s="25" t="inlineStr">
        <is>
          <t>SJ-2026-00088</t>
        </is>
      </c>
      <c r="B19" s="25" t="inlineStr">
        <is>
          <t>Pacific Rim</t>
        </is>
      </c>
      <c r="C19" s="25" t="inlineStr">
        <is>
          <t>Ana / Rico</t>
        </is>
      </c>
      <c r="D19" s="25" t="inlineStr">
        <is>
          <t>Sailed</t>
        </is>
      </c>
      <c r="E19" s="25" t="inlineStr">
        <is>
          <t>Clean, mid-journey job. Good for status updates.</t>
        </is>
      </c>
    </row>
    <row r="20" ht="30" customHeight="1">
      <c r="A20" s="25" t="inlineStr">
        <is>
          <t>SJ-2026-00082</t>
        </is>
      </c>
      <c r="B20" s="25" t="inlineStr">
        <is>
          <t>BlueWave</t>
        </is>
      </c>
      <c r="C20" s="25" t="inlineStr">
        <is>
          <t>Cathy / Rico</t>
        </is>
      </c>
      <c r="D20" s="25" t="inlineStr">
        <is>
          <t>Arrived at Port</t>
        </is>
      </c>
      <c r="E20" s="25" t="inlineStr">
        <is>
          <t>Overdue task (Lodge customs entry, due 24 Sep) and free storage expired 26 Sep.</t>
        </is>
      </c>
    </row>
    <row r="21" ht="17" customHeight="1">
      <c r="A21" s="25" t="inlineStr">
        <is>
          <t>SJ-2026-00077</t>
        </is>
      </c>
      <c r="B21" s="25" t="inlineStr">
        <is>
          <t>Meridian</t>
        </is>
      </c>
      <c r="C21" s="25" t="inlineStr">
        <is>
          <t>Ana / Ben</t>
        </is>
      </c>
      <c r="D21" s="25" t="inlineStr">
        <is>
          <t>Out for Delivery</t>
        </is>
      </c>
      <c r="E21" s="25" t="inlineStr">
        <is>
          <t>Delivery waiting to be confirmed. Free detention until 3 Oct.</t>
        </is>
      </c>
    </row>
    <row r="22" ht="17" customHeight="1">
      <c r="A22" s="25" t="inlineStr">
        <is>
          <t>SJ-2026-00130</t>
        </is>
      </c>
      <c r="B22" s="25" t="inlineStr">
        <is>
          <t>Sample Trading Co.</t>
        </is>
      </c>
      <c r="C22" s="25" t="inlineStr">
        <is>
          <t>Ana / Rico</t>
        </is>
      </c>
      <c r="D22" s="25" t="inlineStr">
        <is>
          <t>Customs Clearance</t>
        </is>
      </c>
      <c r="E22" s="25" t="inlineStr">
        <is>
          <t>Customs inspection (Red lane, Under Inspection). Urgent.</t>
        </is>
      </c>
    </row>
    <row r="23" ht="43" customHeight="1">
      <c r="A23" s="25" t="inlineStr">
        <is>
          <t>SJ-2026-00070</t>
        </is>
      </c>
      <c r="B23" s="25" t="inlineStr">
        <is>
          <t>Sample Trading Co.</t>
        </is>
      </c>
      <c r="C23" s="25" t="inlineStr">
        <is>
          <t>Ana / Rico</t>
        </is>
      </c>
      <c r="D23" s="25" t="inlineStr">
        <is>
          <t>Delivered</t>
        </is>
      </c>
      <c r="E23" s="25" t="inlineStr">
        <is>
          <t>Unquoted extra charge (Extra storage fee ₱6,800) and a payment with no receipt (Port handling fee ₱2,400). Empty container return is due, with detention ending in 2 days.</t>
        </is>
      </c>
    </row>
    <row r="24" ht="30" customHeight="1">
      <c r="A24" s="25" t="inlineStr">
        <is>
          <t>SJ-2026-00065</t>
        </is>
      </c>
      <c r="B24" s="25" t="inlineStr">
        <is>
          <t>Golden Harvest</t>
        </is>
      </c>
      <c r="C24" s="25" t="inlineStr">
        <is>
          <t>Cathy / Ben</t>
        </is>
      </c>
      <c r="D24" s="25" t="inlineStr">
        <is>
          <t>Exception Hold</t>
        </is>
      </c>
      <c r="E24" s="25" t="inlineStr">
        <is>
          <t>Open exception (HS code mismatch) waiting for approval. Customs payment is waiting on the client. Free storage ends tomorrow.</t>
        </is>
      </c>
    </row>
    <row r="25" ht="30" customHeight="1">
      <c r="A25" s="25" t="inlineStr">
        <is>
          <t>SJ-2026-00120</t>
        </is>
      </c>
      <c r="B25" s="25" t="inlineStr">
        <is>
          <t>Golden Harvest</t>
        </is>
      </c>
      <c r="C25" s="25" t="inlineStr">
        <is>
          <t>Cathy / Rico</t>
        </is>
      </c>
      <c r="D25" s="25" t="inlineStr">
        <is>
          <t>Customs Clearance</t>
        </is>
      </c>
      <c r="E25" s="25" t="inlineStr">
        <is>
          <t>Short on funds: duty ₱18,400 due 30 Sep, only ₱10,000 on hand, so short by ₱8,400. Free storage ends in 2 days.</t>
        </is>
      </c>
    </row>
    <row r="26" ht="30" customHeight="1">
      <c r="A26" s="25" t="inlineStr">
        <is>
          <t>SJ-2026-00060</t>
        </is>
      </c>
      <c r="B26" s="25" t="inlineStr">
        <is>
          <t>Pacific Rim</t>
        </is>
      </c>
      <c r="C26" s="25" t="inlineStr">
        <is>
          <t>Ana / Rico</t>
        </is>
      </c>
      <c r="D26" s="25" t="inlineStr">
        <is>
          <t>Billing Ready</t>
        </is>
      </c>
      <c r="E26" s="25" t="inlineStr">
        <is>
          <t>Refund due: fully funded, refund due to client ₱16,100. Has ₱5,000 markup on freight.</t>
        </is>
      </c>
    </row>
    <row r="27" ht="17" customHeight="1">
      <c r="A27" s="25" t="inlineStr">
        <is>
          <t>SJ-2026-00050</t>
        </is>
      </c>
      <c r="B27" s="25" t="inlineStr">
        <is>
          <t>BlueWave</t>
        </is>
      </c>
      <c r="C27" s="25" t="inlineStr">
        <is>
          <t>Cathy / Rico</t>
        </is>
      </c>
      <c r="D27" s="25" t="inlineStr">
        <is>
          <t>Closed</t>
        </is>
      </c>
      <c r="E27" s="25" t="inlineStr">
        <is>
          <t>Fully settled: money in exactly covers everything.</t>
        </is>
      </c>
    </row>
    <row r="28" ht="17" customHeight="1">
      <c r="A28" s="25" t="inlineStr">
        <is>
          <t>SJ-2026-00110</t>
        </is>
      </c>
      <c r="B28" s="25" t="inlineStr">
        <is>
          <t>Meridian</t>
        </is>
      </c>
      <c r="C28" s="25" t="inlineStr">
        <is>
          <t>Ana / Rico</t>
        </is>
      </c>
      <c r="D28" s="25" t="inlineStr">
        <is>
          <t>Booked</t>
        </is>
      </c>
      <c r="E28" s="25" t="inlineStr">
        <is>
          <t>All five documents missing. Brand-new job.</t>
        </is>
      </c>
    </row>
    <row r="30">
      <c r="A30" s="3" t="inlineStr">
        <is>
          <t>Sample inquiries and quotations</t>
        </is>
      </c>
    </row>
    <row r="31" ht="30" customHeight="1">
      <c r="A31" s="9" t="inlineStr">
        <is>
          <t>Item</t>
        </is>
      </c>
      <c r="B31" s="9" t="inlineStr">
        <is>
          <t>Value</t>
        </is>
      </c>
    </row>
    <row r="32" ht="56" customHeight="1">
      <c r="A32" s="25" t="inlineStr">
        <is>
          <t>How to open</t>
        </is>
      </c>
      <c r="B32" s="25" t="inlineStr">
        <is>
          <t>Open apps/mockup/index.html in a browser (double-click the file). No server, no install.</t>
        </is>
      </c>
    </row>
    <row r="33" ht="43" customHeight="1">
      <c r="A33" s="25" t="inlineStr">
        <is>
          <t>Browsers</t>
        </is>
      </c>
      <c r="B33" s="25" t="inlineStr">
        <is>
          <t>Chrome or Edge (latest) is the primary target. Spot-check Firefox and Safari.</t>
        </is>
      </c>
    </row>
    <row r="34" ht="56" customHeight="1">
      <c r="A34" s="25" t="inlineStr">
        <is>
          <t>Screen sizes</t>
        </is>
      </c>
      <c r="B34" s="25" t="inlineStr">
        <is>
          <t>Desktop 1440 px wide for most cases. Section 12 covers tablet (768 px) and phone (400 px).</t>
        </is>
      </c>
    </row>
    <row r="35" ht="82" customHeight="1">
      <c r="A35" s="25" t="inlineStr">
        <is>
          <t>"Today"</t>
        </is>
      </c>
      <c r="B35" s="25" t="inlineStr">
        <is>
          <t>The mockup's clock is fixed at Monday 28 September 2026. All overdue, due-in-N-days and storage-clock statements assume this date. Do not use your computer's date.</t>
        </is>
      </c>
    </row>
    <row r="36" ht="108" customHeight="1">
      <c r="A36" s="25" t="inlineStr">
        <is>
          <t>Baseline</t>
        </is>
      </c>
      <c r="B36" s="25" t="inlineStr">
        <is>
          <t>The expected results in this plan were checked against the current build with an automated walkthrough of the same steps (more than 300 checks, all passing). If a screen differs from this plan, treat it as a finding.</t>
        </is>
      </c>
    </row>
    <row r="37" ht="69" customHeight="1">
      <c r="A37" s="25" t="inlineStr">
        <is>
          <t>Data reset</t>
        </is>
      </c>
      <c r="B37" s="25" t="inlineStr">
        <is>
          <t>Data lives only in the open page. Refresh the page (F5) to restore the original sample data, then sign in again. Nothing is ever saved.</t>
        </is>
      </c>
    </row>
    <row r="38" ht="69" customHeight="1">
      <c r="A38" s="25" t="inlineStr">
        <is>
          <t>Data between cases</t>
        </is>
      </c>
      <c r="B38" s="25" t="inlineStr">
        <is>
          <t>Cases within a section are designed to run in order on one page load. Where a case needs fresh data it says Refresh first.</t>
        </is>
      </c>
    </row>
    <row r="39" ht="95" customHeight="1">
      <c r="A39" s="25" t="inlineStr">
        <is>
          <t>Mock content</t>
        </is>
      </c>
      <c r="B39" s="25" t="inlineStr">
        <is>
          <t>Every name, ID, amount and file is fictional. Buttons such as Open, View on a file, and Download PDF (except job SJ-2026-00101's PDF) do not open real files; they show a message saying so.</t>
        </is>
      </c>
    </row>
    <row r="41">
      <c r="A41" s="3" t="inlineStr">
        <is>
          <t>Key numbers on a fresh page</t>
        </is>
      </c>
    </row>
    <row r="42">
      <c r="A42" s="2" t="inlineStr">
        <is>
          <t>Audit Trail on a fresh page: All time 66 events, Today 1, Last 7 days 18, Last 30 days 64, This month 62.</t>
        </is>
      </c>
    </row>
    <row r="43" ht="30" customHeight="1">
      <c r="A43" s="9" t="inlineStr">
        <is>
          <t>Card</t>
        </is>
      </c>
      <c r="B43" s="9" t="inlineStr">
        <is>
          <t>Manager, Admin, Finance</t>
        </is>
      </c>
      <c r="C43" s="9" t="inlineStr">
        <is>
          <t>Dispatcher Ana Cruz</t>
        </is>
      </c>
    </row>
    <row r="44" ht="17" customHeight="1">
      <c r="A44" s="25" t="inlineStr">
        <is>
          <t>Active jobs</t>
        </is>
      </c>
      <c r="B44" s="25" t="inlineStr">
        <is>
          <t>11</t>
        </is>
      </c>
      <c r="C44" s="25" t="inlineStr">
        <is>
          <t>7</t>
        </is>
      </c>
    </row>
    <row r="45" ht="17" customHeight="1">
      <c r="A45" s="25" t="inlineStr">
        <is>
          <t>Overdue tasks</t>
        </is>
      </c>
      <c r="B45" s="25" t="inlineStr">
        <is>
          <t>1</t>
        </is>
      </c>
      <c r="C45" s="25" t="inlineStr">
        <is>
          <t>0</t>
        </is>
      </c>
    </row>
    <row r="46" ht="17" customHeight="1">
      <c r="A46" s="25" t="inlineStr">
        <is>
          <t>Missing / rejected docs</t>
        </is>
      </c>
      <c r="B46" s="25" t="inlineStr">
        <is>
          <t>7</t>
        </is>
      </c>
      <c r="C46" s="25" t="inlineStr">
        <is>
          <t>5</t>
        </is>
      </c>
    </row>
    <row r="47" ht="17" customHeight="1">
      <c r="A47" s="25" t="inlineStr">
        <is>
          <t>Open exceptions</t>
        </is>
      </c>
      <c r="B47" s="25" t="inlineStr">
        <is>
          <t>1</t>
        </is>
      </c>
      <c r="C47" s="25" t="inlineStr">
        <is>
          <t>0</t>
        </is>
      </c>
    </row>
    <row r="48" ht="17" customHeight="1">
      <c r="A48" s="25" t="inlineStr">
        <is>
          <t>Billing ready</t>
        </is>
      </c>
      <c r="B48" s="25" t="inlineStr">
        <is>
          <t>2</t>
        </is>
      </c>
      <c r="C48" s="25" t="inlineStr">
        <is>
          <t>2</t>
        </is>
      </c>
    </row>
    <row r="49" ht="17" customHeight="1">
      <c r="A49" s="25" t="inlineStr">
        <is>
          <t>Jobs short on funds</t>
        </is>
      </c>
      <c r="B49" s="25" t="inlineStr">
        <is>
          <t>1</t>
        </is>
      </c>
      <c r="C49" s="25" t="inlineStr">
        <is>
          <t>(not shown)</t>
        </is>
      </c>
    </row>
    <row r="51">
      <c r="A51" s="3" t="inlineStr">
        <is>
          <t>Money figures for the five funds scenarios (DAT-02)</t>
        </is>
      </c>
    </row>
    <row r="52" ht="30" customHeight="1">
      <c r="A52" s="9" t="inlineStr">
        <is>
          <t>Job</t>
        </is>
      </c>
      <c r="B52" s="9" t="inlineStr">
        <is>
          <t>Money in</t>
        </is>
      </c>
      <c r="C52" s="9" t="inlineStr">
        <is>
          <t>Money spent</t>
        </is>
      </c>
      <c r="D52" s="9" t="inlineStr">
        <is>
          <t>Left over</t>
        </is>
      </c>
      <c r="E52" s="9" t="inlineStr">
        <is>
          <t>Our fees</t>
        </is>
      </c>
      <c r="F52" s="9" t="inlineStr">
        <is>
          <t>Final balance</t>
        </is>
      </c>
    </row>
    <row r="53" ht="17" customHeight="1">
      <c r="A53" s="25" t="inlineStr">
        <is>
          <t>SJ-2026-00060</t>
        </is>
      </c>
      <c r="B53" s="25" t="inlineStr">
        <is>
          <t>₱175,000.00</t>
        </is>
      </c>
      <c r="C53" s="25" t="inlineStr">
        <is>
          <t>₱150,400.00</t>
        </is>
      </c>
      <c r="D53" s="25" t="inlineStr">
        <is>
          <t>₱24,600.00</t>
        </is>
      </c>
      <c r="E53" s="25" t="inlineStr">
        <is>
          <t>₱8,500.00 (₱3,500.00 fee + ₱5,000.00 markup)</t>
        </is>
      </c>
      <c r="F53" s="25" t="inlineStr">
        <is>
          <t>Refund due to client ₱16,100.00</t>
        </is>
      </c>
    </row>
    <row r="54" ht="30" customHeight="1">
      <c r="A54" s="25" t="inlineStr">
        <is>
          <t>SJ-2026-00101</t>
        </is>
      </c>
      <c r="B54" s="25" t="inlineStr">
        <is>
          <t>₱140,000.00</t>
        </is>
      </c>
      <c r="C54" s="25" t="inlineStr">
        <is>
          <t>₱150,400.00</t>
        </is>
      </c>
      <c r="D54" s="25" t="inlineStr">
        <is>
          <t>−₱10,400.00</t>
        </is>
      </c>
      <c r="E54" s="25" t="inlineStr">
        <is>
          <t>₱3,500.00</t>
        </is>
      </c>
      <c r="F54" s="25" t="inlineStr">
        <is>
          <t>Balance to bill client ₱13,900.00</t>
        </is>
      </c>
    </row>
    <row r="55" ht="17" customHeight="1">
      <c r="A55" s="25" t="inlineStr">
        <is>
          <t>SJ-2026-00050</t>
        </is>
      </c>
      <c r="B55" s="25" t="inlineStr">
        <is>
          <t>₱104,700.00</t>
        </is>
      </c>
      <c r="C55" s="25" t="inlineStr">
        <is>
          <t>₱102,200.00</t>
        </is>
      </c>
      <c r="D55" s="25" t="inlineStr">
        <is>
          <t>₱2,500.00</t>
        </is>
      </c>
      <c r="E55" s="25" t="inlineStr">
        <is>
          <t>₱2,500.00</t>
        </is>
      </c>
      <c r="F55" s="25" t="inlineStr">
        <is>
          <t>Fully settled</t>
        </is>
      </c>
    </row>
    <row r="56" ht="30" customHeight="1">
      <c r="A56" s="25" t="inlineStr">
        <is>
          <t>SJ-2026-00070</t>
        </is>
      </c>
      <c r="B56" s="25" t="inlineStr">
        <is>
          <t>₱160,000.00</t>
        </is>
      </c>
      <c r="C56" s="25" t="inlineStr">
        <is>
          <t>₱145,700.00</t>
        </is>
      </c>
      <c r="D56" s="25" t="inlineStr">
        <is>
          <t>₱14,300.00</t>
        </is>
      </c>
      <c r="E56" s="25" t="inlineStr">
        <is>
          <t>₱3,500.00</t>
        </is>
      </c>
      <c r="F56" s="25" t="inlineStr">
        <is>
          <t>Refund due ₱10,800.00 (provisional)</t>
        </is>
      </c>
    </row>
    <row r="57" ht="43" customHeight="1">
      <c r="A57" s="25" t="inlineStr">
        <is>
          <t>SJ-2026-00120</t>
        </is>
      </c>
      <c r="B57" s="25" t="inlineStr">
        <is>
          <t>₱106,000.00</t>
        </is>
      </c>
      <c r="C57" s="25" t="inlineStr">
        <is>
          <t>₱96,000.00</t>
        </is>
      </c>
      <c r="D57" s="25" t="inlineStr">
        <is>
          <t>₱10,000.00</t>
        </is>
      </c>
      <c r="E57" s="25" t="inlineStr">
        <is>
          <t>none yet</t>
        </is>
      </c>
      <c r="F57" s="25" t="inlineStr">
        <is>
          <t>Not worked out before delivery; short by ₱8,400.00 for the ₱18,400.00 duty</t>
        </is>
      </c>
    </row>
  </sheetData>
  <pageMargins left="0.75" right="0.75" top="1" bottom="1" header="0.5" footer="0.5"/>
</worksheet>
</file>

<file path=xl/worksheets/sheet7.xml><?xml version="1.0" encoding="utf-8"?>
<worksheet xmlns="http://schemas.openxmlformats.org/spreadsheetml/2006/main">
  <sheetPr>
    <tabColor rgb="008794AE"/>
    <outlinePr summaryBelow="1" summaryRight="1"/>
    <pageSetUpPr/>
  </sheetPr>
  <dimension ref="A1:F18"/>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26" customWidth="1" min="2" max="2"/>
    <col width="30" customWidth="1" min="3" max="3"/>
    <col width="22" customWidth="1" min="4" max="4"/>
    <col width="22" customWidth="1" min="5" max="5"/>
    <col width="26" customWidth="1" min="6" max="6"/>
  </cols>
  <sheetData>
    <row r="1">
      <c r="A1" s="1" t="inlineStr">
        <is>
          <t>What each role may do</t>
        </is>
      </c>
    </row>
    <row r="3" ht="30" customHeight="1">
      <c r="A3" s="9" t="inlineStr">
        <is>
          <t>Area</t>
        </is>
      </c>
      <c r="B3" s="9" t="inlineStr">
        <is>
          <t>Dispatcher</t>
        </is>
      </c>
      <c r="C3" s="9" t="inlineStr">
        <is>
          <t>Warehouse Crew</t>
        </is>
      </c>
      <c r="D3" s="9" t="inlineStr">
        <is>
          <t>Manager</t>
        </is>
      </c>
      <c r="E3" s="9" t="inlineStr">
        <is>
          <t>Admin</t>
        </is>
      </c>
      <c r="F3" s="9" t="inlineStr">
        <is>
          <t>Finance</t>
        </is>
      </c>
    </row>
    <row r="4" ht="17" customHeight="1">
      <c r="A4" s="25" t="inlineStr">
        <is>
          <t>Dashboard</t>
        </is>
      </c>
      <c r="B4" s="25" t="inlineStr">
        <is>
          <t>Own customers' jobs only</t>
        </is>
      </c>
      <c r="C4" s="25" t="inlineStr">
        <is>
          <t>No</t>
        </is>
      </c>
      <c r="D4" s="25" t="inlineStr">
        <is>
          <t>All jobs</t>
        </is>
      </c>
      <c r="E4" s="25" t="inlineStr">
        <is>
          <t>All jobs</t>
        </is>
      </c>
      <c r="F4" s="25" t="inlineStr">
        <is>
          <t>All jobs</t>
        </is>
      </c>
    </row>
    <row r="5" ht="17" customHeight="1">
      <c r="A5" s="25" t="inlineStr">
        <is>
          <t>Customers</t>
        </is>
      </c>
      <c r="B5" s="25" t="inlineStr">
        <is>
          <t>Full</t>
        </is>
      </c>
      <c r="C5" s="25" t="inlineStr">
        <is>
          <t>No</t>
        </is>
      </c>
      <c r="D5" s="25" t="inlineStr">
        <is>
          <t>Full</t>
        </is>
      </c>
      <c r="E5" s="25" t="inlineStr">
        <is>
          <t>Full</t>
        </is>
      </c>
      <c r="F5" s="25" t="inlineStr">
        <is>
          <t>No</t>
        </is>
      </c>
    </row>
    <row r="6" ht="17" customHeight="1">
      <c r="A6" s="25" t="inlineStr">
        <is>
          <t>Inquiries and Quotations</t>
        </is>
      </c>
      <c r="B6" s="25" t="inlineStr">
        <is>
          <t>Full</t>
        </is>
      </c>
      <c r="C6" s="25" t="inlineStr">
        <is>
          <t>No</t>
        </is>
      </c>
      <c r="D6" s="25" t="inlineStr">
        <is>
          <t>Full</t>
        </is>
      </c>
      <c r="E6" s="25" t="inlineStr">
        <is>
          <t>Full</t>
        </is>
      </c>
      <c r="F6" s="25" t="inlineStr">
        <is>
          <t>No</t>
        </is>
      </c>
    </row>
    <row r="7" ht="17" customHeight="1">
      <c r="A7" s="25" t="inlineStr">
        <is>
          <t>Shipment Jobs (list and detail)</t>
        </is>
      </c>
      <c r="B7" s="25" t="inlineStr">
        <is>
          <t>All jobs</t>
        </is>
      </c>
      <c r="C7" s="25" t="inlineStr">
        <is>
          <t>Assigned jobs only</t>
        </is>
      </c>
      <c r="D7" s="25" t="inlineStr">
        <is>
          <t>All</t>
        </is>
      </c>
      <c r="E7" s="25" t="inlineStr">
        <is>
          <t>All</t>
        </is>
      </c>
      <c r="F7" s="25" t="inlineStr">
        <is>
          <t>All, read-only</t>
        </is>
      </c>
    </row>
    <row r="8" ht="30" customHeight="1">
      <c r="A8" s="25" t="inlineStr">
        <is>
          <t>Tasks</t>
        </is>
      </c>
      <c r="B8" s="25" t="inlineStr">
        <is>
          <t>Complete, reassign</t>
        </is>
      </c>
      <c r="C8" s="25" t="inlineStr">
        <is>
          <t>Own tasks only, complete (no reassign)</t>
        </is>
      </c>
      <c r="D8" s="25" t="inlineStr">
        <is>
          <t>Complete, reassign</t>
        </is>
      </c>
      <c r="E8" s="25" t="inlineStr">
        <is>
          <t>Complete, reassign</t>
        </is>
      </c>
      <c r="F8" s="25" t="inlineStr">
        <is>
          <t>No tab</t>
        </is>
      </c>
    </row>
    <row r="9" ht="17" customHeight="1">
      <c r="A9" s="25" t="inlineStr">
        <is>
          <t>Documents</t>
        </is>
      </c>
      <c r="B9" s="25" t="inlineStr">
        <is>
          <t>Upload, approve, reject</t>
        </is>
      </c>
      <c r="C9" s="25" t="inlineStr">
        <is>
          <t>Upload only</t>
        </is>
      </c>
      <c r="D9" s="25" t="inlineStr">
        <is>
          <t>Upload, approve, reject</t>
        </is>
      </c>
      <c r="E9" s="25" t="inlineStr">
        <is>
          <t>Upload, approve, reject</t>
        </is>
      </c>
      <c r="F9" s="25" t="inlineStr">
        <is>
          <t>No tab</t>
        </is>
      </c>
    </row>
    <row r="10" ht="30" customHeight="1">
      <c r="A10" s="25" t="inlineStr">
        <is>
          <t>Exceptions</t>
        </is>
      </c>
      <c r="B10" s="25" t="inlineStr">
        <is>
          <t>Raise</t>
        </is>
      </c>
      <c r="C10" s="25" t="inlineStr">
        <is>
          <t>Raise</t>
        </is>
      </c>
      <c r="D10" s="25" t="inlineStr">
        <is>
          <t>Raise, approve or reject</t>
        </is>
      </c>
      <c r="E10" s="25" t="inlineStr">
        <is>
          <t>Raise, approve or reject</t>
        </is>
      </c>
      <c r="F10" s="25" t="inlineStr">
        <is>
          <t>No tab</t>
        </is>
      </c>
    </row>
    <row r="11" ht="17" customHeight="1">
      <c r="A11" s="25" t="inlineStr">
        <is>
          <t>Delivery and POD</t>
        </is>
      </c>
      <c r="B11" s="25" t="inlineStr">
        <is>
          <t>No tab</t>
        </is>
      </c>
      <c r="C11" s="25" t="inlineStr">
        <is>
          <t>Confirm delivery</t>
        </is>
      </c>
      <c r="D11" s="25" t="inlineStr">
        <is>
          <t>Confirm delivery</t>
        </is>
      </c>
      <c r="E11" s="25" t="inlineStr">
        <is>
          <t>Confirm delivery</t>
        </is>
      </c>
      <c r="F11" s="25" t="inlineStr">
        <is>
          <t>No tab</t>
        </is>
      </c>
    </row>
    <row r="12" ht="30" customHeight="1">
      <c r="A12" s="25" t="inlineStr">
        <is>
          <t>Advance a job's stage or customs sub-stage</t>
        </is>
      </c>
      <c r="B12" s="25" t="inlineStr">
        <is>
          <t>Yes</t>
        </is>
      </c>
      <c r="C12" s="25" t="inlineStr">
        <is>
          <t>Yes (assigned jobs)</t>
        </is>
      </c>
      <c r="D12" s="25" t="inlineStr">
        <is>
          <t>Yes</t>
        </is>
      </c>
      <c r="E12" s="25" t="inlineStr">
        <is>
          <t>Yes</t>
        </is>
      </c>
      <c r="F12" s="25" t="inlineStr">
        <is>
          <t>No</t>
        </is>
      </c>
    </row>
    <row r="13" ht="17" customHeight="1">
      <c r="A13" s="25" t="inlineStr">
        <is>
          <t>Customs lane, hold, clear hold</t>
        </is>
      </c>
      <c r="B13" s="25" t="inlineStr">
        <is>
          <t>No</t>
        </is>
      </c>
      <c r="C13" s="25" t="inlineStr">
        <is>
          <t>No</t>
        </is>
      </c>
      <c r="D13" s="25" t="inlineStr">
        <is>
          <t>Yes</t>
        </is>
      </c>
      <c r="E13" s="25" t="inlineStr">
        <is>
          <t>Yes</t>
        </is>
      </c>
      <c r="F13" s="25" t="inlineStr">
        <is>
          <t>No</t>
        </is>
      </c>
    </row>
    <row r="14" ht="17" customHeight="1">
      <c r="A14" s="25" t="inlineStr">
        <is>
          <t>Status override (out of sequence)</t>
        </is>
      </c>
      <c r="B14" s="25" t="inlineStr">
        <is>
          <t>No</t>
        </is>
      </c>
      <c r="C14" s="25" t="inlineStr">
        <is>
          <t>No</t>
        </is>
      </c>
      <c r="D14" s="25" t="inlineStr">
        <is>
          <t>Yes</t>
        </is>
      </c>
      <c r="E14" s="25" t="inlineStr">
        <is>
          <t>Yes</t>
        </is>
      </c>
      <c r="F14" s="25" t="inlineStr">
        <is>
          <t>No</t>
        </is>
      </c>
    </row>
    <row r="15" ht="30" customHeight="1">
      <c r="A15" s="25" t="inlineStr">
        <is>
          <t>Charges, funds, margin</t>
        </is>
      </c>
      <c r="B15" s="25" t="inlineStr">
        <is>
          <t>Hidden</t>
        </is>
      </c>
      <c r="C15" s="25" t="inlineStr">
        <is>
          <t>Hidden</t>
        </is>
      </c>
      <c r="D15" s="25" t="inlineStr">
        <is>
          <t>Full (add, approve, absorb)</t>
        </is>
      </c>
      <c r="E15" s="25" t="inlineStr">
        <is>
          <t>Full</t>
        </is>
      </c>
      <c r="F15" s="25" t="inlineStr">
        <is>
          <t>View only</t>
        </is>
      </c>
    </row>
    <row r="16" ht="17" customHeight="1">
      <c r="A16" s="25" t="inlineStr">
        <is>
          <t>Billing Summary</t>
        </is>
      </c>
      <c r="B16" s="25" t="inlineStr">
        <is>
          <t>No</t>
        </is>
      </c>
      <c r="C16" s="25" t="inlineStr">
        <is>
          <t>No</t>
        </is>
      </c>
      <c r="D16" s="25" t="inlineStr">
        <is>
          <t>Yes</t>
        </is>
      </c>
      <c r="E16" s="25" t="inlineStr">
        <is>
          <t>Yes</t>
        </is>
      </c>
      <c r="F16" s="25" t="inlineStr">
        <is>
          <t>Yes</t>
        </is>
      </c>
    </row>
    <row r="17" ht="17" customHeight="1">
      <c r="A17" s="25" t="inlineStr">
        <is>
          <t>Users and Roles</t>
        </is>
      </c>
      <c r="B17" s="25" t="inlineStr">
        <is>
          <t>No</t>
        </is>
      </c>
      <c r="C17" s="25" t="inlineStr">
        <is>
          <t>No</t>
        </is>
      </c>
      <c r="D17" s="25" t="inlineStr">
        <is>
          <t>No</t>
        </is>
      </c>
      <c r="E17" s="25" t="inlineStr">
        <is>
          <t>Yes</t>
        </is>
      </c>
      <c r="F17" s="25" t="inlineStr">
        <is>
          <t>No</t>
        </is>
      </c>
    </row>
    <row r="18" ht="17" customHeight="1">
      <c r="A18" s="25" t="inlineStr">
        <is>
          <t>Audit Trail</t>
        </is>
      </c>
      <c r="B18" s="25" t="inlineStr">
        <is>
          <t>No</t>
        </is>
      </c>
      <c r="C18" s="25" t="inlineStr">
        <is>
          <t>No</t>
        </is>
      </c>
      <c r="D18" s="25" t="inlineStr">
        <is>
          <t>Yes</t>
        </is>
      </c>
      <c r="E18" s="25" t="inlineStr">
        <is>
          <t>Yes</t>
        </is>
      </c>
      <c r="F18" s="25" t="inlineStr">
        <is>
          <t>Yes</t>
        </is>
      </c>
    </row>
  </sheetData>
  <pageMargins left="0.75" right="0.75" top="1" bottom="1" header="0.5" footer="0.5"/>
</worksheet>
</file>

<file path=xl/worksheets/sheet8.xml><?xml version="1.0" encoding="utf-8"?>
<worksheet xmlns="http://schemas.openxmlformats.org/spreadsheetml/2006/main">
  <sheetPr>
    <tabColor rgb="008794AE"/>
    <outlinePr summaryBelow="1" summaryRight="1"/>
    <pageSetUpPr/>
  </sheetPr>
  <dimension ref="A1:B33"/>
  <sheetViews>
    <sheetView showGridLines="0" workbookViewId="0">
      <pane ySplit="3" topLeftCell="A4" activePane="bottomLeft" state="frozen"/>
      <selection pane="bottomLeft" activeCell="A1" sqref="A1"/>
    </sheetView>
  </sheetViews>
  <sheetFormatPr baseColWidth="8" defaultRowHeight="15"/>
  <cols>
    <col width="46" customWidth="1" min="1" max="1"/>
    <col width="110" customWidth="1" min="2" max="2"/>
  </cols>
  <sheetData>
    <row r="1">
      <c r="A1" s="1" t="inlineStr">
        <is>
          <t>Feature coverage: where each feature is tested</t>
        </is>
      </c>
    </row>
    <row r="3" ht="30" customHeight="1">
      <c r="A3" s="9" t="inlineStr">
        <is>
          <t>Feature</t>
        </is>
      </c>
      <c r="B3" s="9" t="inlineStr">
        <is>
          <t>Test cases</t>
        </is>
      </c>
    </row>
    <row r="4" ht="17" customHeight="1">
      <c r="A4" s="25" t="inlineStr">
        <is>
          <t>Sign-in, account chooser, sign-out</t>
        </is>
      </c>
      <c r="B4" s="25" t="inlineStr">
        <is>
          <t>ACC-01, 04, 05, ADM-03 to 07</t>
        </is>
      </c>
    </row>
    <row r="5" ht="17" customHeight="1">
      <c r="A5" s="25" t="inlineStr">
        <is>
          <t>Menus and page access by role</t>
        </is>
      </c>
      <c r="B5" s="25" t="inlineStr">
        <is>
          <t>ACC-02, 03, 11, DSP-32, WHC-02 to 04, 16, 17, MGR-34, FIN-01 to 04</t>
        </is>
      </c>
    </row>
    <row r="6" ht="17" customHeight="1">
      <c r="A6" s="25" t="inlineStr">
        <is>
          <t>Global search</t>
        </is>
      </c>
      <c r="B6" s="25" t="inlineStr">
        <is>
          <t>ACC-06 to 08, FIN-05</t>
        </is>
      </c>
    </row>
    <row r="7" ht="17" customHeight="1">
      <c r="A7" s="25" t="inlineStr">
        <is>
          <t>Notifications</t>
        </is>
      </c>
      <c r="B7" s="25" t="inlineStr">
        <is>
          <t>ACC-09</t>
        </is>
      </c>
    </row>
    <row r="8" ht="17" customHeight="1">
      <c r="A8" s="25" t="inlineStr">
        <is>
          <t>Demo role switch</t>
        </is>
      </c>
      <c r="B8" s="25" t="inlineStr">
        <is>
          <t>ACC-10, 11</t>
        </is>
      </c>
    </row>
    <row r="9" ht="17" customHeight="1">
      <c r="A9" s="25" t="inlineStr">
        <is>
          <t>Dashboard (all cards and panels)</t>
        </is>
      </c>
      <c r="B9" s="25" t="inlineStr">
        <is>
          <t>DSP-02 to 04, MGR-01 to 04, FIN-06, DAT-03</t>
        </is>
      </c>
    </row>
    <row r="10" ht="17" customHeight="1">
      <c r="A10" s="25" t="inlineStr">
        <is>
          <t>My Tasks</t>
        </is>
      </c>
      <c r="B10" s="25" t="inlineStr">
        <is>
          <t>DSP-01, 04, WHC-01, 18</t>
        </is>
      </c>
    </row>
    <row r="11" ht="30" customHeight="1">
      <c r="A11" s="25" t="inlineStr">
        <is>
          <t>Customers (list, search, detail, create, duplicate)</t>
        </is>
      </c>
      <c r="B11" s="25" t="inlineStr">
        <is>
          <t>DSP-05 to 10</t>
        </is>
      </c>
    </row>
    <row r="12" ht="17" customHeight="1">
      <c r="A12" s="25" t="inlineStr">
        <is>
          <t>Inquiries</t>
        </is>
      </c>
      <c r="B12" s="25" t="inlineStr">
        <is>
          <t>DSP-11 to 13, 20</t>
        </is>
      </c>
    </row>
    <row r="13" ht="17" customHeight="1">
      <c r="A13" s="25" t="inlineStr">
        <is>
          <t>Quotations, versions, approval, conversion</t>
        </is>
      </c>
      <c r="B13" s="25" t="inlineStr">
        <is>
          <t>DSP-14 to 19</t>
        </is>
      </c>
    </row>
    <row r="14" ht="17" customHeight="1">
      <c r="A14" s="25" t="inlineStr">
        <is>
          <t>Job list (search, filter, density, flags)</t>
        </is>
      </c>
      <c r="B14" s="25" t="inlineStr">
        <is>
          <t>DSP-21, 22</t>
        </is>
      </c>
    </row>
    <row r="15" ht="17" customHeight="1">
      <c r="A15" s="25" t="inlineStr">
        <is>
          <t>Job detail and status history</t>
        </is>
      </c>
      <c r="B15" s="25" t="inlineStr">
        <is>
          <t>DSP-23</t>
        </is>
      </c>
    </row>
    <row r="16" ht="17" customHeight="1">
      <c r="A16" s="25" t="inlineStr">
        <is>
          <t>Stage updates and gates</t>
        </is>
      </c>
      <c r="B16" s="25" t="inlineStr">
        <is>
          <t>DSP-24 to 27, 49, MGR-11, 12</t>
        </is>
      </c>
    </row>
    <row r="17" ht="17" customHeight="1">
      <c r="A17" s="25" t="inlineStr">
        <is>
          <t>Customs (sub-stage, lane, hold, payment party)</t>
        </is>
      </c>
      <c r="B17" s="25" t="inlineStr">
        <is>
          <t>DSP-28 to 30, MGR-08 to 10</t>
        </is>
      </c>
    </row>
    <row r="18" ht="17" customHeight="1">
      <c r="A18" s="25" t="inlineStr">
        <is>
          <t>Manager and Admin override</t>
        </is>
      </c>
      <c r="B18" s="25" t="inlineStr">
        <is>
          <t>MGR-11 to 13</t>
        </is>
      </c>
    </row>
    <row r="19" ht="17" customHeight="1">
      <c r="A19" s="25" t="inlineStr">
        <is>
          <t>Tasks (complete, proof, reassign, view proof)</t>
        </is>
      </c>
      <c r="B19" s="25" t="inlineStr">
        <is>
          <t>DSP-34 to 39, WHC-11 to 13, MGR-14, 15, E2E-06</t>
        </is>
      </c>
    </row>
    <row r="20" ht="17" customHeight="1">
      <c r="A20" s="25" t="inlineStr">
        <is>
          <t>Documents (upload, approve, reject, replace)</t>
        </is>
      </c>
      <c r="B20" s="25" t="inlineStr">
        <is>
          <t>DSP-40 to 46, WHC-14, E2E-01</t>
        </is>
      </c>
    </row>
    <row r="21" ht="17" customHeight="1">
      <c r="A21" s="25" t="inlineStr">
        <is>
          <t>Exceptions (raise, approve, reject, hold)</t>
        </is>
      </c>
      <c r="B21" s="25" t="inlineStr">
        <is>
          <t>DSP-47 to 49, WHC-15, MGR-05 to 07, E2E-02</t>
        </is>
      </c>
    </row>
    <row r="22" ht="17" customHeight="1">
      <c r="A22" s="25" t="inlineStr">
        <is>
          <t>Delivery and proof of delivery</t>
        </is>
      </c>
      <c r="B22" s="25" t="inlineStr">
        <is>
          <t>WHC-06 to 10, MGR-16 to 18, E2E-01, 05</t>
        </is>
      </c>
    </row>
    <row r="23" ht="17" customHeight="1">
      <c r="A23" s="25" t="inlineStr">
        <is>
          <t>Client funds and ledger</t>
        </is>
      </c>
      <c r="B23" s="25" t="inlineStr">
        <is>
          <t>MGR-19 to 23, FIN-07 to 11, DAT-02</t>
        </is>
      </c>
    </row>
    <row r="24" ht="17" customHeight="1">
      <c r="A24" s="25" t="inlineStr">
        <is>
          <t>Funding-gap alert and dashboard list</t>
        </is>
      </c>
      <c r="B24" s="25" t="inlineStr">
        <is>
          <t>MGR-19 to 24, FIN-10, E2E-04</t>
        </is>
      </c>
    </row>
    <row r="25" ht="17" customHeight="1">
      <c r="A25" s="25" t="inlineStr">
        <is>
          <t>Charges (reimbursable, service fee, markup)</t>
        </is>
      </c>
      <c r="B25" s="25" t="inlineStr">
        <is>
          <t>MGR-24 to 26, FIN-12, 13</t>
        </is>
      </c>
    </row>
    <row r="26" ht="17" customHeight="1">
      <c r="A26" s="25" t="inlineStr">
        <is>
          <t>Unquoted charge (approve, absorb)</t>
        </is>
      </c>
      <c r="B26" s="25" t="inlineStr">
        <is>
          <t>MGR-27 to 29, FIN-03, 11, E2E-03</t>
        </is>
      </c>
    </row>
    <row r="27" ht="17" customHeight="1">
      <c r="A27" s="25" t="inlineStr">
        <is>
          <t>Cost and margin</t>
        </is>
      </c>
      <c r="B27" s="25" t="inlineStr">
        <is>
          <t>MGR-04, FIN-12, E2E-01</t>
        </is>
      </c>
    </row>
    <row r="28" ht="17" customHeight="1">
      <c r="A28" s="25" t="inlineStr">
        <is>
          <t>Billing checklist, ready, close</t>
        </is>
      </c>
      <c r="B28" s="25" t="inlineStr">
        <is>
          <t>MGR-30 to 32, E2E-01</t>
        </is>
      </c>
    </row>
    <row r="29" ht="17" customHeight="1">
      <c r="A29" s="25" t="inlineStr">
        <is>
          <t>Billing Summary, print, PDF</t>
        </is>
      </c>
      <c r="B29" s="25" t="inlineStr">
        <is>
          <t>FIN-14 to 18, E2E-01, 03</t>
        </is>
      </c>
    </row>
    <row r="30" ht="17" customHeight="1">
      <c r="A30" s="25" t="inlineStr">
        <is>
          <t>Users and roles, permission matrix</t>
        </is>
      </c>
      <c r="B30" s="25" t="inlineStr">
        <is>
          <t>ADM-01 to 10, E2E-06</t>
        </is>
      </c>
    </row>
    <row r="31" ht="17" customHeight="1">
      <c r="A31" s="25" t="inlineStr">
        <is>
          <t>Audit trail (filters, paging, actors)</t>
        </is>
      </c>
      <c r="B31" s="25" t="inlineStr">
        <is>
          <t>ADM-11 to 15, FIN-19, XC-06, E2E-01</t>
        </is>
      </c>
    </row>
    <row r="32" ht="17" customHeight="1">
      <c r="A32" s="25" t="inlineStr">
        <is>
          <t>Customer tracking page</t>
        </is>
      </c>
      <c r="B32" s="25" t="inlineStr">
        <is>
          <t>CUS-01 to 14, DSP-50, 51, E2E-01, 02, 04, 05</t>
        </is>
      </c>
    </row>
    <row r="33" ht="17" customHeight="1">
      <c r="A33" s="25" t="inlineStr">
        <is>
          <t>Layout, keyboard, motion, labelling</t>
        </is>
      </c>
      <c r="B33" s="25" t="inlineStr">
        <is>
          <t>XC-01 to 05, WHC-19, CUS-13</t>
        </is>
      </c>
    </row>
  </sheetData>
  <pageMargins left="0.75" right="0.75" top="1" bottom="1" header="0.5" footer="0.5"/>
</worksheet>
</file>

<file path=xl/worksheets/sheet9.xml><?xml version="1.0" encoding="utf-8"?>
<worksheet xmlns="http://schemas.openxmlformats.org/spreadsheetml/2006/main">
  <sheetPr>
    <tabColor rgb="008794AE"/>
    <outlinePr summaryBelow="1" summaryRight="1"/>
    <pageSetUpPr/>
  </sheetPr>
  <dimension ref="A1:D20"/>
  <sheetViews>
    <sheetView showGridLines="0" workbookViewId="0">
      <pane ySplit="4" topLeftCell="A5" activePane="bottomLeft" state="frozen"/>
      <selection pane="bottomLeft" activeCell="A1" sqref="A1"/>
    </sheetView>
  </sheetViews>
  <sheetFormatPr baseColWidth="8" defaultRowHeight="15"/>
  <cols>
    <col width="9" customWidth="1" min="1" max="1"/>
    <col width="100" customWidth="1" min="2" max="2"/>
    <col width="20" customWidth="1" min="3" max="3"/>
    <col width="40" customWidth="1" min="4" max="4"/>
  </cols>
  <sheetData>
    <row r="1">
      <c r="A1" s="1" t="inlineStr">
        <is>
          <t>Known limitations and open questions</t>
        </is>
      </c>
    </row>
    <row r="2">
      <c r="A2" s="2" t="inlineStr">
        <is>
          <t>Not failures. Do not log these as defects unless behaviour differs from what is written here.</t>
        </is>
      </c>
    </row>
    <row r="4" ht="30" customHeight="1">
      <c r="A4" s="9" t="inlineStr">
        <is>
          <t>#</t>
        </is>
      </c>
      <c r="B4" s="9" t="inlineStr">
        <is>
          <t>Note</t>
        </is>
      </c>
      <c r="C4" s="9" t="inlineStr">
        <is>
          <t>Decision owner</t>
        </is>
      </c>
      <c r="D4" s="9" t="inlineStr">
        <is>
          <t>Decision / comment</t>
        </is>
      </c>
    </row>
    <row r="5" ht="18" customHeight="1">
      <c r="A5" s="26" t="inlineStr">
        <is>
          <t>KL-01</t>
        </is>
      </c>
      <c r="B5" s="25" t="inlineStr">
        <is>
          <t>Nothing is saved. Refreshing restores the sample data.</t>
        </is>
      </c>
      <c r="C5" s="28" t="n"/>
      <c r="D5" s="28" t="n"/>
    </row>
    <row r="6" ht="56" customHeight="1">
      <c r="A6" s="26" t="inlineStr">
        <is>
          <t>KL-02</t>
        </is>
      </c>
      <c r="B6" s="25" t="inlineStr">
        <is>
          <t>The pre-built PDF for SJ-2026-00101 was not regenerated. It shows margin as quote minus all charges (₱20,600.00, 11.8%), while the screens now use "service fees plus markup" (₱3,500.00, 2.3%). Its file name also contains the word "invoice". The PDF's charges and quote match the screens. Decision needed: regenerate it.</t>
        </is>
      </c>
      <c r="C6" s="28" t="n"/>
      <c r="D6" s="28" t="n"/>
    </row>
    <row r="7" ht="30" customHeight="1">
      <c r="A7" s="26" t="inlineStr">
        <is>
          <t>KL-03</t>
        </is>
      </c>
      <c r="B7" s="25" t="inlineStr">
        <is>
          <t>Task status (Pending, Due, Overdue) is set when the job is created. Reassign changes the owner and date but does not recalculate the status. Moving a job forward does not complete its tasks.</t>
        </is>
      </c>
      <c r="C7" s="28" t="n"/>
      <c r="D7" s="28" t="n"/>
    </row>
    <row r="8" ht="30" customHeight="1">
      <c r="A8" s="26" t="inlineStr">
        <is>
          <t>KL-04</t>
        </is>
      </c>
      <c r="B8" s="25" t="inlineStr">
        <is>
          <t>A delivery reported with damage has no "resolved" step in the mockup, so billing stays blocked (see MGR-18). Decision needed on the damage-claim process.</t>
        </is>
      </c>
      <c r="C8" s="28" t="n"/>
      <c r="D8" s="28" t="n"/>
    </row>
    <row r="9" ht="30" customHeight="1">
      <c r="A9" s="26" t="inlineStr">
        <is>
          <t>KL-05</t>
        </is>
      </c>
      <c r="B9" s="25" t="inlineStr">
        <is>
          <t>View, Open and download buttons on documents, proof of delivery and deposits do not open real files. Uploads keep only the file name.</t>
        </is>
      </c>
      <c r="C9" s="28" t="n"/>
      <c r="D9" s="28" t="n"/>
    </row>
    <row r="10" ht="18" customHeight="1">
      <c r="A10" s="26" t="inlineStr">
        <is>
          <t>KL-06</t>
        </is>
      </c>
      <c r="B10" s="25" t="inlineStr">
        <is>
          <t>Overdue escalation emails are an illustration; nothing is sent.</t>
        </is>
      </c>
      <c r="C10" s="28" t="n"/>
      <c r="D10" s="28" t="n"/>
    </row>
    <row r="11" ht="30" customHeight="1">
      <c r="A11" s="26" t="inlineStr">
        <is>
          <t>KL-07</t>
        </is>
      </c>
      <c r="B11" s="25" t="inlineStr">
        <is>
          <t>There is no edit or delete for customers, inquiries, charges or deposits. A new customer gets placeholder city and contact email.</t>
        </is>
      </c>
      <c r="C11" s="28" t="n"/>
      <c r="D11" s="28" t="n"/>
    </row>
    <row r="12" ht="30" customHeight="1">
      <c r="A12" s="26" t="inlineStr">
        <is>
          <t>KL-08</t>
        </is>
      </c>
      <c r="B12" s="25" t="inlineStr">
        <is>
          <t>The account picker offers one person per role. The second person is reached by deactivating the first (section 2.2). The demo role switch ignores deactivation.</t>
        </is>
      </c>
      <c r="C12" s="28" t="n"/>
      <c r="D12" s="28" t="n"/>
    </row>
    <row r="13" ht="30" customHeight="1">
      <c r="A13" s="26" t="inlineStr">
        <is>
          <t>KL-09</t>
        </is>
      </c>
      <c r="B13" s="25" t="inlineStr">
        <is>
          <t>A Dispatcher can open every job in the Shipment Jobs list; "own jobs only" applies to the Dashboard. Decision needed: should the list be limited too?</t>
        </is>
      </c>
      <c r="C13" s="28" t="n"/>
      <c r="D13" s="28" t="n"/>
    </row>
    <row r="14" ht="30" customHeight="1">
      <c r="A14" s="26" t="inlineStr">
        <is>
          <t>KL-10</t>
        </is>
      </c>
      <c r="B14" s="25" t="inlineStr">
        <is>
          <t>Any role that can see a job can advance its status or customs stage (except Finance). The permission rules do not say who may. Decision needed.</t>
        </is>
      </c>
      <c r="C14" s="28" t="n"/>
      <c r="D14" s="28" t="n"/>
    </row>
    <row r="15" ht="30" customHeight="1">
      <c r="A15" s="26" t="inlineStr">
        <is>
          <t>KL-11</t>
        </is>
      </c>
      <c r="B15" s="25" t="inlineStr">
        <is>
          <t>For jobs without a quotation record, the quoted amount is estimated from the declared value divided by 6 and labelled illustrative.</t>
        </is>
      </c>
      <c r="C15" s="28" t="n"/>
      <c r="D15" s="28" t="n"/>
    </row>
    <row r="16" ht="30" customHeight="1">
      <c r="A16" s="26" t="inlineStr">
        <is>
          <t>KL-12</t>
        </is>
      </c>
      <c r="B16" s="25" t="inlineStr">
        <is>
          <t>The customer tracking page finds shipments by a guessable number. A real system would use a signed, expiring link or require two identifiers.</t>
        </is>
      </c>
      <c r="C16" s="28" t="n"/>
      <c r="D16" s="28" t="n"/>
    </row>
    <row r="17" ht="18" customHeight="1">
      <c r="A17" s="26" t="inlineStr">
        <is>
          <t>KL-13</t>
        </is>
      </c>
      <c r="B17" s="25" t="inlineStr">
        <is>
          <t>Dashboard captions such as "+2 vs last week" are fixed illustrative text.</t>
        </is>
      </c>
      <c r="C17" s="28" t="n"/>
      <c r="D17" s="28" t="n"/>
    </row>
    <row r="18" ht="18" customHeight="1">
      <c r="A18" s="26" t="inlineStr">
        <is>
          <t>KL-14</t>
        </is>
      </c>
      <c r="B18" s="25" t="inlineStr">
        <is>
          <t>Entries you create are stamped "28 Sep 2026" with your computer's real clock time.</t>
        </is>
      </c>
      <c r="C18" s="28" t="n"/>
      <c r="D18" s="28" t="n"/>
    </row>
    <row r="19" ht="30" customHeight="1">
      <c r="A19" s="26" t="inlineStr">
        <is>
          <t>KL-15</t>
        </is>
      </c>
      <c r="B19" s="25" t="inlineStr">
        <is>
          <t>No payment gateway, bank link, tax calculation or accounting ledger exists or is implied. Funds figures are a per-job notebook only.</t>
        </is>
      </c>
      <c r="C19" s="28" t="n"/>
      <c r="D19" s="28" t="n"/>
    </row>
    <row r="20" ht="30" customHeight="1">
      <c r="A20" s="26" t="inlineStr">
        <is>
          <t>KL-16</t>
        </is>
      </c>
      <c r="B20" s="25" t="inlineStr">
        <is>
          <t>The "Charges" column on the Dashboard's Billing readiness table is recorded charges (without markup); a job's "Total billed to client" includes markup. Both are correct for their labels.</t>
        </is>
      </c>
      <c r="C20" s="28" t="n"/>
      <c r="D20" s="2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2026-09-29T03:57:11Z</dcterms:created>
  <dcterms:modified xsi:type="dcterms:W3CDTF">2026-09-29T05:09:03Z</dcterms:modified>
</cp:coreProperties>
</file>